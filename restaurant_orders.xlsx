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Data_Analysis_Project\Resturant\"/>
    </mc:Choice>
  </mc:AlternateContent>
  <xr:revisionPtr revIDLastSave="0" documentId="13_ncr:1_{2084896E-6CC2-41C3-9BF6-77C00639CC38}" xr6:coauthVersionLast="47" xr6:coauthVersionMax="47" xr10:uidLastSave="{00000000-0000-0000-0000-000000000000}"/>
  <bookViews>
    <workbookView xWindow="-120" yWindow="-120" windowWidth="29040" windowHeight="15720" activeTab="4" xr2:uid="{00000000-000D-0000-FFFF-FFFF00000000}"/>
  </bookViews>
  <sheets>
    <sheet name="Raw_Data" sheetId="1" r:id="rId1"/>
    <sheet name="restaurant_orders" sheetId="2" r:id="rId2"/>
    <sheet name="Pivot_Table" sheetId="4" r:id="rId3"/>
    <sheet name="KPI" sheetId="13" r:id="rId4"/>
    <sheet name="Dashboard" sheetId="22" r:id="rId5"/>
  </sheets>
  <definedNames>
    <definedName name="Slicer_Category">#N/A</definedName>
    <definedName name="Slicer_Month">#N/A</definedName>
    <definedName name="Slicer_Payment_Metho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8" i="13" l="1"/>
  <c r="B27" i="13"/>
  <c r="B26" i="13"/>
  <c r="B25" i="13"/>
  <c r="B24" i="13"/>
  <c r="B23" i="13"/>
  <c r="B3" i="13"/>
  <c r="B2" i="13"/>
  <c r="B1" i="13"/>
  <c r="Q3" i="2"/>
  <c r="Q13" i="2"/>
  <c r="Q14" i="2"/>
  <c r="Q25" i="2"/>
  <c r="Q26" i="2"/>
  <c r="Q37" i="2"/>
  <c r="Q38" i="2"/>
  <c r="Q49" i="2"/>
  <c r="Q50" i="2"/>
  <c r="Q61" i="2"/>
  <c r="Q62" i="2"/>
  <c r="Q74" i="2"/>
  <c r="Q85" i="2"/>
  <c r="Q86" i="2"/>
  <c r="Q97" i="2"/>
  <c r="Q98" i="2"/>
  <c r="Q109" i="2"/>
  <c r="Q110" i="2"/>
  <c r="Q121" i="2"/>
  <c r="Q122" i="2"/>
  <c r="Q133" i="2"/>
  <c r="Q134" i="2"/>
  <c r="Q146" i="2"/>
  <c r="Q169" i="2"/>
  <c r="Q170" i="2"/>
  <c r="Q181" i="2"/>
  <c r="Q182" i="2"/>
  <c r="Q193" i="2"/>
  <c r="Q194" i="2"/>
  <c r="Q205" i="2"/>
  <c r="Q217" i="2"/>
  <c r="Q218" i="2"/>
  <c r="Q229" i="2"/>
  <c r="Q230" i="2"/>
  <c r="Q241" i="2"/>
  <c r="Q242" i="2"/>
  <c r="Q253" i="2"/>
  <c r="Q254" i="2"/>
  <c r="Q265" i="2"/>
  <c r="Q266" i="2"/>
  <c r="Q277" i="2"/>
  <c r="Q278" i="2"/>
  <c r="Q289" i="2"/>
  <c r="Q290" i="2"/>
  <c r="Q301" i="2"/>
  <c r="Q302" i="2"/>
  <c r="Q313" i="2"/>
  <c r="Q314" i="2"/>
  <c r="Q325" i="2"/>
  <c r="Q326" i="2"/>
  <c r="Q337" i="2"/>
  <c r="Q338" i="2"/>
  <c r="Q350" i="2"/>
  <c r="Q361" i="2"/>
  <c r="Q362" i="2"/>
  <c r="Q374" i="2"/>
  <c r="Q385" i="2"/>
  <c r="Q397" i="2"/>
  <c r="Q398" i="2"/>
  <c r="Q409" i="2"/>
  <c r="Q410" i="2"/>
  <c r="Q422" i="2"/>
  <c r="Q433" i="2"/>
  <c r="Q434" i="2"/>
  <c r="Q446" i="2"/>
  <c r="Q458" i="2"/>
  <c r="Q469" i="2"/>
  <c r="Q481" i="2"/>
  <c r="Q482" i="2"/>
  <c r="Q493" i="2"/>
  <c r="Q494"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2" i="2"/>
  <c r="R72" i="2"/>
  <c r="R78" i="2"/>
  <c r="R441" i="2"/>
  <c r="R184" i="2"/>
  <c r="R386" i="2"/>
  <c r="R170" i="2"/>
  <c r="R236" i="2"/>
  <c r="R68" i="2"/>
  <c r="R132" i="2"/>
  <c r="R213" i="2"/>
  <c r="R99" i="2"/>
  <c r="R243" i="2"/>
  <c r="R486" i="2"/>
  <c r="R353" i="2"/>
  <c r="R131" i="2"/>
  <c r="R294" i="2"/>
  <c r="R159" i="2"/>
  <c r="R214" i="2"/>
  <c r="R379" i="2"/>
  <c r="R330" i="2"/>
  <c r="R339" i="2"/>
  <c r="R434" i="2"/>
  <c r="R253" i="2"/>
  <c r="R254" i="2"/>
  <c r="R277" i="2"/>
  <c r="R237" i="2"/>
  <c r="R308" i="2"/>
  <c r="R158" i="2"/>
  <c r="R452" i="2"/>
  <c r="R240" i="2"/>
  <c r="R325" i="2"/>
  <c r="R466" i="2"/>
  <c r="R108" i="2"/>
  <c r="R306" i="2"/>
  <c r="R326" i="2"/>
  <c r="R479" i="2"/>
  <c r="R419" i="2"/>
  <c r="R481" i="2"/>
  <c r="R52" i="2"/>
  <c r="R125" i="2"/>
  <c r="R157" i="2"/>
  <c r="R215" i="2"/>
  <c r="R493" i="2"/>
  <c r="R105" i="2"/>
  <c r="R46" i="2"/>
  <c r="R38" i="2"/>
  <c r="R385" i="2"/>
  <c r="R147" i="2"/>
  <c r="R180" i="2"/>
  <c r="R469" i="2"/>
  <c r="R391" i="2"/>
  <c r="R373" i="2"/>
  <c r="R345" i="2"/>
  <c r="R381" i="2"/>
  <c r="R480" i="2"/>
  <c r="R295" i="2"/>
  <c r="R392" i="2"/>
  <c r="R264" i="2"/>
  <c r="R175" i="2"/>
  <c r="R484" i="2"/>
  <c r="R501" i="2"/>
  <c r="R285" i="2"/>
  <c r="R50" i="2"/>
  <c r="R107" i="2"/>
  <c r="R423" i="2"/>
  <c r="R333" i="2"/>
  <c r="R473" i="2"/>
  <c r="R246" i="2"/>
  <c r="R355" i="2"/>
  <c r="R454" i="2"/>
  <c r="R86" i="2"/>
  <c r="R400" i="2"/>
  <c r="R178" i="2"/>
  <c r="R62" i="2"/>
  <c r="R220" i="2"/>
  <c r="R356" i="2"/>
  <c r="R31" i="2"/>
  <c r="R305" i="2"/>
  <c r="R272" i="2"/>
  <c r="R291" i="2"/>
  <c r="R92" i="2"/>
  <c r="R500" i="2"/>
  <c r="R218" i="2"/>
  <c r="R281" i="2"/>
  <c r="R472" i="2"/>
  <c r="R41" i="2"/>
  <c r="R238" i="2"/>
  <c r="R71" i="2"/>
  <c r="R457" i="2"/>
  <c r="R114" i="2"/>
  <c r="R420" i="2"/>
  <c r="R84" i="2"/>
  <c r="R343" i="2"/>
  <c r="R327" i="2"/>
  <c r="R216" i="2"/>
  <c r="R117" i="2"/>
  <c r="R282" i="2"/>
  <c r="R278" i="2"/>
  <c r="R150" i="2"/>
  <c r="R177" i="2"/>
  <c r="R455" i="2"/>
  <c r="R268" i="2"/>
  <c r="R310" i="2"/>
  <c r="R280" i="2"/>
  <c r="R64" i="2"/>
  <c r="R103" i="2"/>
  <c r="R380" i="2"/>
  <c r="R315" i="2"/>
  <c r="R384" i="2"/>
  <c r="R209" i="2"/>
  <c r="R242" i="2"/>
  <c r="R358" i="2"/>
  <c r="R346" i="2"/>
  <c r="R197" i="2"/>
  <c r="R172" i="2"/>
  <c r="R143" i="2"/>
  <c r="R232" i="2"/>
  <c r="R324" i="2"/>
  <c r="R406" i="2"/>
  <c r="R283" i="2"/>
  <c r="R109" i="2"/>
  <c r="R296" i="2"/>
  <c r="R382" i="2"/>
  <c r="R196" i="2"/>
  <c r="R120" i="2"/>
  <c r="R304" i="2"/>
  <c r="R144" i="2"/>
  <c r="R494" i="2"/>
  <c r="R154" i="2"/>
  <c r="R9" i="2"/>
  <c r="R187" i="2"/>
  <c r="R471" i="2"/>
  <c r="R63" i="2"/>
  <c r="R303" i="2"/>
  <c r="R411" i="2"/>
  <c r="R195" i="2"/>
  <c r="R474" i="2"/>
  <c r="R395" i="2"/>
  <c r="R396" i="2"/>
  <c r="R76" i="2"/>
  <c r="R13" i="2"/>
  <c r="R438" i="2"/>
  <c r="R231" i="2"/>
  <c r="R251" i="2"/>
  <c r="R139" i="2"/>
  <c r="R274" i="2"/>
  <c r="R393" i="2"/>
  <c r="R29" i="2"/>
  <c r="R465" i="2"/>
  <c r="R309" i="2"/>
  <c r="R320" i="2"/>
  <c r="R312" i="2"/>
  <c r="R323" i="2"/>
  <c r="R194" i="2"/>
  <c r="R433" i="2"/>
  <c r="R98" i="2"/>
  <c r="R336" i="2"/>
  <c r="R89" i="2"/>
  <c r="R21" i="2"/>
  <c r="R363" i="2"/>
  <c r="R314" i="2"/>
  <c r="R192" i="2"/>
  <c r="R203" i="2"/>
  <c r="R65" i="2"/>
  <c r="R6" i="2"/>
  <c r="R447" i="2"/>
  <c r="R49" i="2"/>
  <c r="R115" i="2"/>
  <c r="R40" i="2"/>
  <c r="R322" i="2"/>
  <c r="R11" i="2"/>
  <c r="R464" i="2"/>
  <c r="R403" i="2"/>
  <c r="R100" i="2"/>
  <c r="R22" i="2"/>
  <c r="R91" i="2"/>
  <c r="R166" i="2"/>
  <c r="R128" i="2"/>
  <c r="R229" i="2"/>
  <c r="R448" i="2"/>
  <c r="R377" i="2"/>
  <c r="R201" i="2"/>
  <c r="R101" i="2"/>
  <c r="R186" i="2"/>
  <c r="R444" i="2"/>
  <c r="R248" i="2"/>
  <c r="R367" i="2"/>
  <c r="R81" i="2"/>
  <c r="R407" i="2"/>
  <c r="R334" i="2"/>
  <c r="R401" i="2"/>
  <c r="R410" i="2"/>
  <c r="R75" i="2"/>
  <c r="R5" i="2"/>
  <c r="R17" i="2"/>
  <c r="R223" i="2"/>
  <c r="R77" i="2"/>
  <c r="R148" i="2"/>
  <c r="R66" i="2"/>
  <c r="R258" i="2"/>
  <c r="R397" i="2"/>
  <c r="R341" i="2"/>
  <c r="R93" i="2"/>
  <c r="R293" i="2"/>
  <c r="R225" i="2"/>
  <c r="R279" i="2"/>
  <c r="R302" i="2"/>
  <c r="R90" i="2"/>
  <c r="R461" i="2"/>
  <c r="R378" i="2"/>
  <c r="R398" i="2"/>
  <c r="R495" i="2"/>
  <c r="R417" i="2"/>
  <c r="R164" i="2"/>
  <c r="R270" i="2"/>
  <c r="R436" i="2"/>
  <c r="R10" i="2"/>
  <c r="R210" i="2"/>
  <c r="R262" i="2"/>
  <c r="R8" i="2"/>
  <c r="R383" i="2"/>
  <c r="R2" i="2"/>
  <c r="R335" i="2"/>
  <c r="R300" i="2"/>
  <c r="R140" i="2"/>
  <c r="R301" i="2"/>
  <c r="R123" i="2"/>
  <c r="R290" i="2"/>
  <c r="R424" i="2"/>
  <c r="R138" i="2"/>
  <c r="R257" i="2"/>
  <c r="R127" i="2"/>
  <c r="R299" i="2"/>
  <c r="R202" i="2"/>
  <c r="R463" i="2"/>
  <c r="R94" i="2"/>
  <c r="R468" i="2"/>
  <c r="R193" i="2"/>
  <c r="R412" i="2"/>
  <c r="R30" i="2"/>
  <c r="R239" i="2"/>
  <c r="R32" i="2"/>
  <c r="R275" i="2"/>
  <c r="R488" i="2"/>
  <c r="R307" i="2"/>
  <c r="R427" i="2"/>
  <c r="R207" i="2"/>
  <c r="R121" i="2"/>
  <c r="R97" i="2"/>
  <c r="R25" i="2"/>
  <c r="R83" i="2"/>
  <c r="R179" i="2"/>
  <c r="R371" i="2"/>
  <c r="R226" i="2"/>
  <c r="R16" i="2"/>
  <c r="R20" i="2"/>
  <c r="R181" i="2"/>
  <c r="R499" i="2"/>
  <c r="R416" i="2"/>
  <c r="R112" i="2"/>
  <c r="R48" i="2"/>
  <c r="R445" i="2"/>
  <c r="R185" i="2"/>
  <c r="R33" i="2"/>
  <c r="R319" i="2"/>
  <c r="R43" i="2"/>
  <c r="R124" i="2"/>
  <c r="R422" i="2"/>
  <c r="R316" i="2"/>
  <c r="R165" i="2"/>
  <c r="R56" i="2"/>
  <c r="R74" i="2"/>
  <c r="R116" i="2"/>
  <c r="R60" i="2"/>
  <c r="R284" i="2"/>
  <c r="R263" i="2"/>
  <c r="R247" i="2"/>
  <c r="R370" i="2"/>
  <c r="R331" i="2"/>
  <c r="R497" i="2"/>
  <c r="R12" i="2"/>
  <c r="R217" i="2"/>
  <c r="R449" i="2"/>
  <c r="R126" i="2"/>
  <c r="R376" i="2"/>
  <c r="R59" i="2"/>
  <c r="R167" i="2"/>
  <c r="R329" i="2"/>
  <c r="R361" i="2"/>
  <c r="R437" i="2"/>
  <c r="R111" i="2"/>
  <c r="R15" i="2"/>
  <c r="R352" i="2"/>
  <c r="R458" i="2"/>
  <c r="R70" i="2"/>
  <c r="R318" i="2"/>
  <c r="R211" i="2"/>
  <c r="R51" i="2"/>
  <c r="R418" i="2"/>
  <c r="R431" i="2"/>
  <c r="R23" i="2"/>
  <c r="R53" i="2"/>
  <c r="R492" i="2"/>
  <c r="R54" i="2"/>
  <c r="R61" i="2"/>
  <c r="R26" i="2"/>
  <c r="R374" i="2"/>
  <c r="R163" i="2"/>
  <c r="R141" i="2"/>
  <c r="R34" i="2"/>
  <c r="R110" i="2"/>
  <c r="R122" i="2"/>
  <c r="R425" i="2"/>
  <c r="R155" i="2"/>
  <c r="R58" i="2"/>
  <c r="R169" i="2"/>
  <c r="R14" i="2"/>
  <c r="R453" i="2"/>
  <c r="R145" i="2"/>
  <c r="R369" i="2"/>
  <c r="R104" i="2"/>
  <c r="R35" i="2"/>
  <c r="R219" i="2"/>
  <c r="R153" i="2"/>
  <c r="R311" i="2"/>
  <c r="R135" i="2"/>
  <c r="R440" i="2"/>
  <c r="R250" i="2"/>
  <c r="R36" i="2"/>
  <c r="R402" i="2"/>
  <c r="R491" i="2"/>
  <c r="R360" i="2"/>
  <c r="R190" i="2"/>
  <c r="R47" i="2"/>
  <c r="R183" i="2"/>
  <c r="R102" i="2"/>
  <c r="R451" i="2"/>
  <c r="R171" i="2"/>
  <c r="R260" i="2"/>
  <c r="R288" i="2"/>
  <c r="R222" i="2"/>
  <c r="R212" i="2"/>
  <c r="R82" i="2"/>
  <c r="R286" i="2"/>
  <c r="R7" i="2"/>
  <c r="R133" i="2"/>
  <c r="R162" i="2"/>
  <c r="R297" i="2"/>
  <c r="R80" i="2"/>
  <c r="R244" i="2"/>
  <c r="R430" i="2"/>
  <c r="R129" i="2"/>
  <c r="R208" i="2"/>
  <c r="R399" i="2"/>
  <c r="R55" i="2"/>
  <c r="R342" i="2"/>
  <c r="R134" i="2"/>
  <c r="R340" i="2"/>
  <c r="R459" i="2"/>
  <c r="R350" i="2"/>
  <c r="R337" i="2"/>
  <c r="R348" i="2"/>
  <c r="R241" i="2"/>
  <c r="R344" i="2"/>
  <c r="R88" i="2"/>
  <c r="R470" i="2"/>
  <c r="R151" i="2"/>
  <c r="R37" i="2"/>
  <c r="R45" i="2"/>
  <c r="R39" i="2"/>
  <c r="R359" i="2"/>
  <c r="R106" i="2"/>
  <c r="R413" i="2"/>
  <c r="R389" i="2"/>
  <c r="R349" i="2"/>
  <c r="R256" i="2"/>
  <c r="R119" i="2"/>
  <c r="R173" i="2"/>
  <c r="R462" i="2"/>
  <c r="R259" i="2"/>
  <c r="R42" i="2"/>
  <c r="R28" i="2"/>
  <c r="R347" i="2"/>
  <c r="R365" i="2"/>
  <c r="R428" i="2"/>
  <c r="R475" i="2"/>
  <c r="R118" i="2"/>
  <c r="R130" i="2"/>
  <c r="R206" i="2"/>
  <c r="R149" i="2"/>
  <c r="R482" i="2"/>
  <c r="R477" i="2"/>
  <c r="R161" i="2"/>
  <c r="R24" i="2"/>
  <c r="R388" i="2"/>
  <c r="R405" i="2"/>
  <c r="R188" i="2"/>
  <c r="R235" i="2"/>
  <c r="R460" i="2"/>
  <c r="R467" i="2"/>
  <c r="R174" i="2"/>
  <c r="R255" i="2"/>
  <c r="R408" i="2"/>
  <c r="R362" i="2"/>
  <c r="R375" i="2"/>
  <c r="R456" i="2"/>
  <c r="R227" i="2"/>
  <c r="R3" i="2"/>
  <c r="R287" i="2"/>
  <c r="R387" i="2"/>
  <c r="R450" i="2"/>
  <c r="R354" i="2"/>
  <c r="R267" i="2"/>
  <c r="R168" i="2"/>
  <c r="R483" i="2"/>
  <c r="R142" i="2"/>
  <c r="R292" i="2"/>
  <c r="R321" i="2"/>
  <c r="R490" i="2"/>
  <c r="R205" i="2"/>
  <c r="R160" i="2"/>
  <c r="R432" i="2"/>
  <c r="R85" i="2"/>
  <c r="R489" i="2"/>
  <c r="R273" i="2"/>
  <c r="R265" i="2"/>
  <c r="R198" i="2"/>
  <c r="R199" i="2"/>
  <c r="R443" i="2"/>
  <c r="R156" i="2"/>
  <c r="R96" i="2"/>
  <c r="R204" i="2"/>
  <c r="R4" i="2"/>
  <c r="R44" i="2"/>
  <c r="R328" i="2"/>
  <c r="R269" i="2"/>
  <c r="R189" i="2"/>
  <c r="R146" i="2"/>
  <c r="R409" i="2"/>
  <c r="R266" i="2"/>
  <c r="R252" i="2"/>
  <c r="R415" i="2"/>
  <c r="R442" i="2"/>
  <c r="R317" i="2"/>
  <c r="R351" i="2"/>
  <c r="R271" i="2"/>
  <c r="R261" i="2"/>
  <c r="R152" i="2"/>
  <c r="R364" i="2"/>
  <c r="R313" i="2"/>
  <c r="R338" i="2"/>
  <c r="R496" i="2"/>
  <c r="R426" i="2"/>
  <c r="R176" i="2"/>
  <c r="R372" i="2"/>
  <c r="R200" i="2"/>
  <c r="R249" i="2"/>
  <c r="R233" i="2"/>
  <c r="R79" i="2"/>
  <c r="R136" i="2"/>
  <c r="R245" i="2"/>
  <c r="R366" i="2"/>
  <c r="R332" i="2"/>
  <c r="R394" i="2"/>
  <c r="R224" i="2"/>
  <c r="R435" i="2"/>
  <c r="R57" i="2"/>
  <c r="R69" i="2"/>
  <c r="R289" i="2"/>
  <c r="R487" i="2"/>
  <c r="R182" i="2"/>
  <c r="R73" i="2"/>
  <c r="R234" i="2"/>
  <c r="R191" i="2"/>
  <c r="R276" i="2"/>
  <c r="R87" i="2"/>
  <c r="R298" i="2"/>
  <c r="R478" i="2"/>
  <c r="R221" i="2"/>
  <c r="R113" i="2"/>
  <c r="R228" i="2"/>
  <c r="R19" i="2"/>
  <c r="R230" i="2"/>
  <c r="R357" i="2"/>
  <c r="R137" i="2"/>
  <c r="R439" i="2"/>
  <c r="R498" i="2"/>
  <c r="R421" i="2"/>
  <c r="R390" i="2"/>
  <c r="R404" i="2"/>
  <c r="R368" i="2"/>
  <c r="R18" i="2"/>
  <c r="R95" i="2"/>
  <c r="R414" i="2"/>
  <c r="R27" i="2"/>
  <c r="R429" i="2"/>
  <c r="R476" i="2"/>
  <c r="R446" i="2"/>
  <c r="R485" i="2"/>
  <c r="R67" i="2"/>
  <c r="P353" i="2"/>
  <c r="Q353" i="2" s="1"/>
  <c r="P131" i="2"/>
  <c r="Q131" i="2" s="1"/>
  <c r="P294" i="2"/>
  <c r="Q294" i="2" s="1"/>
  <c r="P159" i="2"/>
  <c r="Q159" i="2" s="1"/>
  <c r="P214" i="2"/>
  <c r="Q214" i="2" s="1"/>
  <c r="P379" i="2"/>
  <c r="Q379" i="2" s="1"/>
  <c r="P330" i="2"/>
  <c r="Q330" i="2" s="1"/>
  <c r="P339" i="2"/>
  <c r="Q339" i="2" s="1"/>
  <c r="P434" i="2"/>
  <c r="P253" i="2"/>
  <c r="P72" i="2"/>
  <c r="Q72" i="2" s="1"/>
  <c r="P254" i="2"/>
  <c r="P277" i="2"/>
  <c r="P237" i="2"/>
  <c r="Q237" i="2" s="1"/>
  <c r="P308" i="2"/>
  <c r="Q308" i="2" s="1"/>
  <c r="P158" i="2"/>
  <c r="Q158" i="2" s="1"/>
  <c r="P452" i="2"/>
  <c r="Q452" i="2" s="1"/>
  <c r="P240" i="2"/>
  <c r="Q240" i="2" s="1"/>
  <c r="P325" i="2"/>
  <c r="P466" i="2"/>
  <c r="Q466" i="2" s="1"/>
  <c r="P108" i="2"/>
  <c r="Q108" i="2" s="1"/>
  <c r="P306" i="2"/>
  <c r="Q306" i="2" s="1"/>
  <c r="P326" i="2"/>
  <c r="P479" i="2"/>
  <c r="Q479" i="2" s="1"/>
  <c r="P419" i="2"/>
  <c r="Q419" i="2" s="1"/>
  <c r="P481" i="2"/>
  <c r="P52" i="2"/>
  <c r="Q52" i="2" s="1"/>
  <c r="P125" i="2"/>
  <c r="Q125" i="2" s="1"/>
  <c r="P157" i="2"/>
  <c r="Q157" i="2" s="1"/>
  <c r="P215" i="2"/>
  <c r="Q215" i="2" s="1"/>
  <c r="P493" i="2"/>
  <c r="P105" i="2"/>
  <c r="Q105" i="2" s="1"/>
  <c r="P46" i="2"/>
  <c r="Q46" i="2" s="1"/>
  <c r="P38" i="2"/>
  <c r="P385" i="2"/>
  <c r="P147" i="2"/>
  <c r="Q147" i="2" s="1"/>
  <c r="P180" i="2"/>
  <c r="Q180" i="2" s="1"/>
  <c r="P469" i="2"/>
  <c r="P391" i="2"/>
  <c r="Q391" i="2" s="1"/>
  <c r="P373" i="2"/>
  <c r="Q373" i="2" s="1"/>
  <c r="P345" i="2"/>
  <c r="Q345" i="2" s="1"/>
  <c r="P381" i="2"/>
  <c r="Q381" i="2" s="1"/>
  <c r="P480" i="2"/>
  <c r="Q480" i="2" s="1"/>
  <c r="P295" i="2"/>
  <c r="Q295" i="2" s="1"/>
  <c r="P392" i="2"/>
  <c r="Q392" i="2" s="1"/>
  <c r="P264" i="2"/>
  <c r="Q264" i="2" s="1"/>
  <c r="P175" i="2"/>
  <c r="Q175" i="2" s="1"/>
  <c r="P484" i="2"/>
  <c r="Q484" i="2" s="1"/>
  <c r="P501" i="2"/>
  <c r="Q501" i="2" s="1"/>
  <c r="P285" i="2"/>
  <c r="Q285" i="2" s="1"/>
  <c r="P50" i="2"/>
  <c r="P107" i="2"/>
  <c r="Q107" i="2" s="1"/>
  <c r="P423" i="2"/>
  <c r="Q423" i="2" s="1"/>
  <c r="P333" i="2"/>
  <c r="Q333" i="2" s="1"/>
  <c r="P473" i="2"/>
  <c r="Q473" i="2" s="1"/>
  <c r="P246" i="2"/>
  <c r="Q246" i="2" s="1"/>
  <c r="P355" i="2"/>
  <c r="Q355" i="2" s="1"/>
  <c r="P454" i="2"/>
  <c r="Q454" i="2" s="1"/>
  <c r="P86" i="2"/>
  <c r="P400" i="2"/>
  <c r="Q400" i="2" s="1"/>
  <c r="P178" i="2"/>
  <c r="Q178" i="2" s="1"/>
  <c r="P62" i="2"/>
  <c r="P220" i="2"/>
  <c r="Q220" i="2" s="1"/>
  <c r="P356" i="2"/>
  <c r="Q356" i="2" s="1"/>
  <c r="P31" i="2"/>
  <c r="Q31" i="2" s="1"/>
  <c r="P305" i="2"/>
  <c r="Q305" i="2" s="1"/>
  <c r="P272" i="2"/>
  <c r="Q272" i="2" s="1"/>
  <c r="P291" i="2"/>
  <c r="Q291" i="2" s="1"/>
  <c r="P92" i="2"/>
  <c r="Q92" i="2" s="1"/>
  <c r="P500" i="2"/>
  <c r="Q500" i="2" s="1"/>
  <c r="P218" i="2"/>
  <c r="P281" i="2"/>
  <c r="Q281" i="2" s="1"/>
  <c r="P472" i="2"/>
  <c r="Q472" i="2" s="1"/>
  <c r="P41" i="2"/>
  <c r="Q41" i="2" s="1"/>
  <c r="P238" i="2"/>
  <c r="Q238" i="2" s="1"/>
  <c r="P71" i="2"/>
  <c r="Q71" i="2" s="1"/>
  <c r="P457" i="2"/>
  <c r="Q457" i="2" s="1"/>
  <c r="P114" i="2"/>
  <c r="Q114" i="2" s="1"/>
  <c r="P420" i="2"/>
  <c r="Q420" i="2" s="1"/>
  <c r="P84" i="2"/>
  <c r="Q84" i="2" s="1"/>
  <c r="P343" i="2"/>
  <c r="Q343" i="2" s="1"/>
  <c r="P327" i="2"/>
  <c r="Q327" i="2" s="1"/>
  <c r="P216" i="2"/>
  <c r="Q216" i="2" s="1"/>
  <c r="P117" i="2"/>
  <c r="Q117" i="2" s="1"/>
  <c r="P282" i="2"/>
  <c r="Q282" i="2" s="1"/>
  <c r="P278" i="2"/>
  <c r="P150" i="2"/>
  <c r="Q150" i="2" s="1"/>
  <c r="P177" i="2"/>
  <c r="Q177" i="2" s="1"/>
  <c r="P455" i="2"/>
  <c r="Q455" i="2" s="1"/>
  <c r="P268" i="2"/>
  <c r="Q268" i="2" s="1"/>
  <c r="P310" i="2"/>
  <c r="Q310" i="2" s="1"/>
  <c r="P280" i="2"/>
  <c r="Q280" i="2" s="1"/>
  <c r="P64" i="2"/>
  <c r="Q64" i="2" s="1"/>
  <c r="P103" i="2"/>
  <c r="Q103" i="2" s="1"/>
  <c r="P380" i="2"/>
  <c r="Q380" i="2" s="1"/>
  <c r="P315" i="2"/>
  <c r="Q315" i="2" s="1"/>
  <c r="P384" i="2"/>
  <c r="Q384" i="2" s="1"/>
  <c r="P209" i="2"/>
  <c r="Q209" i="2" s="1"/>
  <c r="P242" i="2"/>
  <c r="P358" i="2"/>
  <c r="Q358" i="2" s="1"/>
  <c r="P346" i="2"/>
  <c r="Q346" i="2" s="1"/>
  <c r="P197" i="2"/>
  <c r="Q197" i="2" s="1"/>
  <c r="P78" i="2"/>
  <c r="Q78" i="2" s="1"/>
  <c r="P172" i="2"/>
  <c r="Q172" i="2" s="1"/>
  <c r="P143" i="2"/>
  <c r="Q143" i="2" s="1"/>
  <c r="P232" i="2"/>
  <c r="Q232" i="2" s="1"/>
  <c r="P324" i="2"/>
  <c r="Q324" i="2" s="1"/>
  <c r="P406" i="2"/>
  <c r="Q406" i="2" s="1"/>
  <c r="P283" i="2"/>
  <c r="Q283" i="2" s="1"/>
  <c r="P109" i="2"/>
  <c r="P296" i="2"/>
  <c r="Q296" i="2" s="1"/>
  <c r="P382" i="2"/>
  <c r="Q382" i="2" s="1"/>
  <c r="P196" i="2"/>
  <c r="Q196" i="2" s="1"/>
  <c r="P120" i="2"/>
  <c r="Q120" i="2" s="1"/>
  <c r="P304" i="2"/>
  <c r="Q304" i="2" s="1"/>
  <c r="P144" i="2"/>
  <c r="Q144" i="2" s="1"/>
  <c r="P494" i="2"/>
  <c r="P154" i="2"/>
  <c r="Q154" i="2" s="1"/>
  <c r="P9" i="2"/>
  <c r="Q9" i="2" s="1"/>
  <c r="P187" i="2"/>
  <c r="Q187" i="2" s="1"/>
  <c r="P471" i="2"/>
  <c r="Q471" i="2" s="1"/>
  <c r="P63" i="2"/>
  <c r="Q63" i="2" s="1"/>
  <c r="P303" i="2"/>
  <c r="Q303" i="2" s="1"/>
  <c r="P411" i="2"/>
  <c r="Q411" i="2" s="1"/>
  <c r="P195" i="2"/>
  <c r="Q195" i="2" s="1"/>
  <c r="P474" i="2"/>
  <c r="Q474" i="2" s="1"/>
  <c r="P395" i="2"/>
  <c r="Q395" i="2" s="1"/>
  <c r="P396" i="2"/>
  <c r="Q396" i="2" s="1"/>
  <c r="P76" i="2"/>
  <c r="Q76" i="2" s="1"/>
  <c r="P13" i="2"/>
  <c r="P441" i="2"/>
  <c r="Q441" i="2" s="1"/>
  <c r="P438" i="2"/>
  <c r="Q438" i="2" s="1"/>
  <c r="P231" i="2"/>
  <c r="Q231" i="2" s="1"/>
  <c r="P251" i="2"/>
  <c r="Q251" i="2" s="1"/>
  <c r="P139" i="2"/>
  <c r="Q139" i="2" s="1"/>
  <c r="P274" i="2"/>
  <c r="Q274" i="2" s="1"/>
  <c r="P393" i="2"/>
  <c r="Q393" i="2" s="1"/>
  <c r="P29" i="2"/>
  <c r="Q29" i="2" s="1"/>
  <c r="P465" i="2"/>
  <c r="Q465" i="2" s="1"/>
  <c r="P309" i="2"/>
  <c r="Q309" i="2" s="1"/>
  <c r="P320" i="2"/>
  <c r="Q320" i="2" s="1"/>
  <c r="P312" i="2"/>
  <c r="Q312" i="2" s="1"/>
  <c r="P323" i="2"/>
  <c r="Q323" i="2" s="1"/>
  <c r="P194" i="2"/>
  <c r="P433" i="2"/>
  <c r="P98" i="2"/>
  <c r="P336" i="2"/>
  <c r="Q336" i="2" s="1"/>
  <c r="P89" i="2"/>
  <c r="Q89" i="2" s="1"/>
  <c r="P21" i="2"/>
  <c r="Q21" i="2" s="1"/>
  <c r="P363" i="2"/>
  <c r="Q363" i="2" s="1"/>
  <c r="P314" i="2"/>
  <c r="P192" i="2"/>
  <c r="Q192" i="2" s="1"/>
  <c r="P203" i="2"/>
  <c r="Q203" i="2" s="1"/>
  <c r="P65" i="2"/>
  <c r="Q65" i="2" s="1"/>
  <c r="P6" i="2"/>
  <c r="Q6" i="2" s="1"/>
  <c r="P447" i="2"/>
  <c r="Q447" i="2" s="1"/>
  <c r="P49" i="2"/>
  <c r="P115" i="2"/>
  <c r="Q115" i="2" s="1"/>
  <c r="P40" i="2"/>
  <c r="Q40" i="2" s="1"/>
  <c r="P322" i="2"/>
  <c r="Q322" i="2" s="1"/>
  <c r="P11" i="2"/>
  <c r="Q11" i="2" s="1"/>
  <c r="P464" i="2"/>
  <c r="Q464" i="2" s="1"/>
  <c r="P403" i="2"/>
  <c r="Q403" i="2" s="1"/>
  <c r="P100" i="2"/>
  <c r="Q100" i="2" s="1"/>
  <c r="P22" i="2"/>
  <c r="Q22" i="2" s="1"/>
  <c r="P91" i="2"/>
  <c r="Q91" i="2" s="1"/>
  <c r="P166" i="2"/>
  <c r="Q166" i="2" s="1"/>
  <c r="P128" i="2"/>
  <c r="Q128" i="2" s="1"/>
  <c r="P229" i="2"/>
  <c r="P448" i="2"/>
  <c r="Q448" i="2" s="1"/>
  <c r="P377" i="2"/>
  <c r="Q377" i="2" s="1"/>
  <c r="P201" i="2"/>
  <c r="Q201" i="2" s="1"/>
  <c r="P101" i="2"/>
  <c r="Q101" i="2" s="1"/>
  <c r="P186" i="2"/>
  <c r="Q186" i="2" s="1"/>
  <c r="P444" i="2"/>
  <c r="Q444" i="2" s="1"/>
  <c r="P248" i="2"/>
  <c r="Q248" i="2" s="1"/>
  <c r="P367" i="2"/>
  <c r="Q367" i="2" s="1"/>
  <c r="P81" i="2"/>
  <c r="Q81" i="2" s="1"/>
  <c r="P407" i="2"/>
  <c r="Q407" i="2" s="1"/>
  <c r="P334" i="2"/>
  <c r="Q334" i="2" s="1"/>
  <c r="P401" i="2"/>
  <c r="Q401" i="2" s="1"/>
  <c r="P410" i="2"/>
  <c r="P75" i="2"/>
  <c r="Q75" i="2" s="1"/>
  <c r="P5" i="2"/>
  <c r="Q5" i="2" s="1"/>
  <c r="P17" i="2"/>
  <c r="Q17" i="2" s="1"/>
  <c r="P223" i="2"/>
  <c r="Q223" i="2" s="1"/>
  <c r="P77" i="2"/>
  <c r="Q77" i="2" s="1"/>
  <c r="P148" i="2"/>
  <c r="Q148" i="2" s="1"/>
  <c r="P66" i="2"/>
  <c r="Q66" i="2" s="1"/>
  <c r="P258" i="2"/>
  <c r="Q258" i="2" s="1"/>
  <c r="P397" i="2"/>
  <c r="P184" i="2"/>
  <c r="Q184" i="2" s="1"/>
  <c r="P341" i="2"/>
  <c r="Q341" i="2" s="1"/>
  <c r="P93" i="2"/>
  <c r="Q93" i="2" s="1"/>
  <c r="P293" i="2"/>
  <c r="Q293" i="2" s="1"/>
  <c r="P225" i="2"/>
  <c r="Q225" i="2" s="1"/>
  <c r="P279" i="2"/>
  <c r="Q279" i="2" s="1"/>
  <c r="P302" i="2"/>
  <c r="P90" i="2"/>
  <c r="Q90" i="2" s="1"/>
  <c r="P461" i="2"/>
  <c r="Q461" i="2" s="1"/>
  <c r="P378" i="2"/>
  <c r="Q378" i="2" s="1"/>
  <c r="P398" i="2"/>
  <c r="P495" i="2"/>
  <c r="Q495" i="2" s="1"/>
  <c r="P417" i="2"/>
  <c r="Q417" i="2" s="1"/>
  <c r="P164" i="2"/>
  <c r="Q164" i="2" s="1"/>
  <c r="P270" i="2"/>
  <c r="Q270" i="2" s="1"/>
  <c r="P436" i="2"/>
  <c r="Q436" i="2" s="1"/>
  <c r="P10" i="2"/>
  <c r="Q10" i="2" s="1"/>
  <c r="P210" i="2"/>
  <c r="Q210" i="2" s="1"/>
  <c r="P262" i="2"/>
  <c r="Q262" i="2" s="1"/>
  <c r="P8" i="2"/>
  <c r="Q8" i="2" s="1"/>
  <c r="P383" i="2"/>
  <c r="Q383" i="2" s="1"/>
  <c r="P2" i="2"/>
  <c r="Q2" i="2" s="1"/>
  <c r="P335" i="2"/>
  <c r="Q335" i="2" s="1"/>
  <c r="P300" i="2"/>
  <c r="Q300" i="2" s="1"/>
  <c r="P140" i="2"/>
  <c r="Q140" i="2" s="1"/>
  <c r="P301" i="2"/>
  <c r="P123" i="2"/>
  <c r="Q123" i="2" s="1"/>
  <c r="P290" i="2"/>
  <c r="P424" i="2"/>
  <c r="Q424" i="2" s="1"/>
  <c r="P138" i="2"/>
  <c r="Q138" i="2" s="1"/>
  <c r="P257" i="2"/>
  <c r="Q257" i="2" s="1"/>
  <c r="P127" i="2"/>
  <c r="Q127" i="2" s="1"/>
  <c r="P299" i="2"/>
  <c r="Q299" i="2" s="1"/>
  <c r="P202" i="2"/>
  <c r="Q202" i="2" s="1"/>
  <c r="P463" i="2"/>
  <c r="Q463" i="2" s="1"/>
  <c r="P94" i="2"/>
  <c r="Q94" i="2" s="1"/>
  <c r="P468" i="2"/>
  <c r="Q468" i="2" s="1"/>
  <c r="P193" i="2"/>
  <c r="P412" i="2"/>
  <c r="Q412" i="2" s="1"/>
  <c r="P30" i="2"/>
  <c r="Q30" i="2" s="1"/>
  <c r="P386" i="2"/>
  <c r="Q386" i="2" s="1"/>
  <c r="P239" i="2"/>
  <c r="Q239" i="2" s="1"/>
  <c r="P32" i="2"/>
  <c r="Q32" i="2" s="1"/>
  <c r="P275" i="2"/>
  <c r="Q275" i="2" s="1"/>
  <c r="P488" i="2"/>
  <c r="Q488" i="2" s="1"/>
  <c r="P170" i="2"/>
  <c r="P307" i="2"/>
  <c r="Q307" i="2" s="1"/>
  <c r="P427" i="2"/>
  <c r="Q427" i="2" s="1"/>
  <c r="P207" i="2"/>
  <c r="Q207" i="2" s="1"/>
  <c r="P121" i="2"/>
  <c r="P97" i="2"/>
  <c r="P25" i="2"/>
  <c r="P83" i="2"/>
  <c r="Q83" i="2" s="1"/>
  <c r="P179" i="2"/>
  <c r="Q179" i="2" s="1"/>
  <c r="P371" i="2"/>
  <c r="Q371" i="2" s="1"/>
  <c r="P236" i="2"/>
  <c r="Q236" i="2" s="1"/>
  <c r="P226" i="2"/>
  <c r="Q226" i="2" s="1"/>
  <c r="P16" i="2"/>
  <c r="Q16" i="2" s="1"/>
  <c r="P20" i="2"/>
  <c r="Q20" i="2" s="1"/>
  <c r="P181" i="2"/>
  <c r="P499" i="2"/>
  <c r="Q499" i="2" s="1"/>
  <c r="P416" i="2"/>
  <c r="Q416" i="2" s="1"/>
  <c r="P112" i="2"/>
  <c r="Q112" i="2" s="1"/>
  <c r="P48" i="2"/>
  <c r="Q48" i="2" s="1"/>
  <c r="P445" i="2"/>
  <c r="Q445" i="2" s="1"/>
  <c r="P185" i="2"/>
  <c r="Q185" i="2" s="1"/>
  <c r="P33" i="2"/>
  <c r="Q33" i="2" s="1"/>
  <c r="P319" i="2"/>
  <c r="Q319" i="2" s="1"/>
  <c r="P43" i="2"/>
  <c r="Q43" i="2" s="1"/>
  <c r="P68" i="2"/>
  <c r="Q68" i="2" s="1"/>
  <c r="P124" i="2"/>
  <c r="Q124" i="2" s="1"/>
  <c r="P422" i="2"/>
  <c r="P316" i="2"/>
  <c r="Q316" i="2" s="1"/>
  <c r="P165" i="2"/>
  <c r="Q165" i="2" s="1"/>
  <c r="P56" i="2"/>
  <c r="Q56" i="2" s="1"/>
  <c r="P74" i="2"/>
  <c r="P116" i="2"/>
  <c r="Q116" i="2" s="1"/>
  <c r="P60" i="2"/>
  <c r="Q60" i="2" s="1"/>
  <c r="P284" i="2"/>
  <c r="Q284" i="2" s="1"/>
  <c r="P263" i="2"/>
  <c r="Q263" i="2" s="1"/>
  <c r="P247" i="2"/>
  <c r="Q247" i="2" s="1"/>
  <c r="P370" i="2"/>
  <c r="Q370" i="2" s="1"/>
  <c r="P331" i="2"/>
  <c r="Q331" i="2" s="1"/>
  <c r="P497" i="2"/>
  <c r="Q497" i="2" s="1"/>
  <c r="P12" i="2"/>
  <c r="Q12" i="2" s="1"/>
  <c r="P217" i="2"/>
  <c r="P449" i="2"/>
  <c r="Q449" i="2" s="1"/>
  <c r="P126" i="2"/>
  <c r="Q126" i="2" s="1"/>
  <c r="P376" i="2"/>
  <c r="Q376" i="2" s="1"/>
  <c r="P59" i="2"/>
  <c r="Q59" i="2" s="1"/>
  <c r="P167" i="2"/>
  <c r="Q167" i="2" s="1"/>
  <c r="P132" i="2"/>
  <c r="Q132" i="2" s="1"/>
  <c r="P329" i="2"/>
  <c r="Q329" i="2" s="1"/>
  <c r="P361" i="2"/>
  <c r="P437" i="2"/>
  <c r="Q437" i="2" s="1"/>
  <c r="P111" i="2"/>
  <c r="Q111" i="2" s="1"/>
  <c r="P15" i="2"/>
  <c r="Q15" i="2" s="1"/>
  <c r="P352" i="2"/>
  <c r="Q352" i="2" s="1"/>
  <c r="P458" i="2"/>
  <c r="P70" i="2"/>
  <c r="Q70" i="2" s="1"/>
  <c r="P318" i="2"/>
  <c r="Q318" i="2" s="1"/>
  <c r="P211" i="2"/>
  <c r="Q211" i="2" s="1"/>
  <c r="P51" i="2"/>
  <c r="Q51" i="2" s="1"/>
  <c r="P418" i="2"/>
  <c r="Q418" i="2" s="1"/>
  <c r="P431" i="2"/>
  <c r="Q431" i="2" s="1"/>
  <c r="P23" i="2"/>
  <c r="Q23" i="2" s="1"/>
  <c r="P53" i="2"/>
  <c r="Q53" i="2" s="1"/>
  <c r="P492" i="2"/>
  <c r="Q492" i="2" s="1"/>
  <c r="P54" i="2"/>
  <c r="Q54" i="2" s="1"/>
  <c r="P61" i="2"/>
  <c r="P26" i="2"/>
  <c r="P374" i="2"/>
  <c r="P163" i="2"/>
  <c r="Q163" i="2" s="1"/>
  <c r="P141" i="2"/>
  <c r="Q141" i="2" s="1"/>
  <c r="P34" i="2"/>
  <c r="Q34" i="2" s="1"/>
  <c r="P213" i="2"/>
  <c r="Q213" i="2" s="1"/>
  <c r="P110" i="2"/>
  <c r="P122" i="2"/>
  <c r="P425" i="2"/>
  <c r="Q425" i="2" s="1"/>
  <c r="P155" i="2"/>
  <c r="Q155" i="2" s="1"/>
  <c r="P99" i="2"/>
  <c r="Q99" i="2" s="1"/>
  <c r="P58" i="2"/>
  <c r="Q58" i="2" s="1"/>
  <c r="P169" i="2"/>
  <c r="P14" i="2"/>
  <c r="P453" i="2"/>
  <c r="Q453" i="2" s="1"/>
  <c r="P145" i="2"/>
  <c r="Q145" i="2" s="1"/>
  <c r="P369" i="2"/>
  <c r="Q369" i="2" s="1"/>
  <c r="P104" i="2"/>
  <c r="Q104" i="2" s="1"/>
  <c r="P35" i="2"/>
  <c r="Q35" i="2" s="1"/>
  <c r="P219" i="2"/>
  <c r="Q219" i="2" s="1"/>
  <c r="P153" i="2"/>
  <c r="Q153" i="2" s="1"/>
  <c r="P311" i="2"/>
  <c r="Q311" i="2" s="1"/>
  <c r="P135" i="2"/>
  <c r="Q135" i="2" s="1"/>
  <c r="P440" i="2"/>
  <c r="Q440" i="2" s="1"/>
  <c r="P250" i="2"/>
  <c r="Q250" i="2" s="1"/>
  <c r="P36" i="2"/>
  <c r="Q36" i="2" s="1"/>
  <c r="P402" i="2"/>
  <c r="Q402" i="2" s="1"/>
  <c r="P491" i="2"/>
  <c r="Q491" i="2" s="1"/>
  <c r="P360" i="2"/>
  <c r="Q360" i="2" s="1"/>
  <c r="P190" i="2"/>
  <c r="Q190" i="2" s="1"/>
  <c r="P47" i="2"/>
  <c r="Q47" i="2" s="1"/>
  <c r="P183" i="2"/>
  <c r="Q183" i="2" s="1"/>
  <c r="P102" i="2"/>
  <c r="Q102" i="2" s="1"/>
  <c r="P451" i="2"/>
  <c r="Q451" i="2" s="1"/>
  <c r="P171" i="2"/>
  <c r="Q171" i="2" s="1"/>
  <c r="P260" i="2"/>
  <c r="Q260" i="2" s="1"/>
  <c r="P288" i="2"/>
  <c r="Q288" i="2" s="1"/>
  <c r="P222" i="2"/>
  <c r="Q222" i="2" s="1"/>
  <c r="P212" i="2"/>
  <c r="Q212" i="2" s="1"/>
  <c r="P82" i="2"/>
  <c r="Q82" i="2" s="1"/>
  <c r="P286" i="2"/>
  <c r="Q286" i="2" s="1"/>
  <c r="P7" i="2"/>
  <c r="Q7" i="2" s="1"/>
  <c r="P133" i="2"/>
  <c r="P162" i="2"/>
  <c r="Q162" i="2" s="1"/>
  <c r="P297" i="2"/>
  <c r="Q297" i="2" s="1"/>
  <c r="P80" i="2"/>
  <c r="Q80" i="2" s="1"/>
  <c r="P244" i="2"/>
  <c r="Q244" i="2" s="1"/>
  <c r="P430" i="2"/>
  <c r="Q430" i="2" s="1"/>
  <c r="P129" i="2"/>
  <c r="Q129" i="2" s="1"/>
  <c r="P208" i="2"/>
  <c r="Q208" i="2" s="1"/>
  <c r="P399" i="2"/>
  <c r="Q399" i="2" s="1"/>
  <c r="P55" i="2"/>
  <c r="Q55" i="2" s="1"/>
  <c r="P342" i="2"/>
  <c r="Q342" i="2" s="1"/>
  <c r="P134" i="2"/>
  <c r="P340" i="2"/>
  <c r="Q340" i="2" s="1"/>
  <c r="P459" i="2"/>
  <c r="Q459" i="2" s="1"/>
  <c r="P350" i="2"/>
  <c r="P337" i="2"/>
  <c r="P348" i="2"/>
  <c r="Q348" i="2" s="1"/>
  <c r="P241" i="2"/>
  <c r="P344" i="2"/>
  <c r="Q344" i="2" s="1"/>
  <c r="P88" i="2"/>
  <c r="Q88" i="2" s="1"/>
  <c r="P470" i="2"/>
  <c r="Q470" i="2" s="1"/>
  <c r="P151" i="2"/>
  <c r="Q151" i="2" s="1"/>
  <c r="P37" i="2"/>
  <c r="P45" i="2"/>
  <c r="Q45" i="2" s="1"/>
  <c r="P39" i="2"/>
  <c r="Q39" i="2" s="1"/>
  <c r="P359" i="2"/>
  <c r="Q359" i="2" s="1"/>
  <c r="P106" i="2"/>
  <c r="Q106" i="2" s="1"/>
  <c r="P413" i="2"/>
  <c r="Q413" i="2" s="1"/>
  <c r="P389" i="2"/>
  <c r="Q389" i="2" s="1"/>
  <c r="P243" i="2"/>
  <c r="Q243" i="2" s="1"/>
  <c r="P349" i="2"/>
  <c r="Q349" i="2" s="1"/>
  <c r="P256" i="2"/>
  <c r="Q256" i="2" s="1"/>
  <c r="P119" i="2"/>
  <c r="Q119" i="2" s="1"/>
  <c r="P173" i="2"/>
  <c r="Q173" i="2" s="1"/>
  <c r="P486" i="2"/>
  <c r="Q486" i="2" s="1"/>
  <c r="P462" i="2"/>
  <c r="Q462" i="2" s="1"/>
  <c r="P259" i="2"/>
  <c r="Q259" i="2" s="1"/>
  <c r="P42" i="2"/>
  <c r="Q42" i="2" s="1"/>
  <c r="P28" i="2"/>
  <c r="Q28" i="2" s="1"/>
  <c r="P347" i="2"/>
  <c r="Q347" i="2" s="1"/>
  <c r="P365" i="2"/>
  <c r="Q365" i="2" s="1"/>
  <c r="P428" i="2"/>
  <c r="Q428" i="2" s="1"/>
  <c r="P475" i="2"/>
  <c r="Q475" i="2" s="1"/>
  <c r="P118" i="2"/>
  <c r="Q118" i="2" s="1"/>
  <c r="P130" i="2"/>
  <c r="Q130" i="2" s="1"/>
  <c r="P206" i="2"/>
  <c r="Q206" i="2" s="1"/>
  <c r="P149" i="2"/>
  <c r="Q149" i="2" s="1"/>
  <c r="P482" i="2"/>
  <c r="P477" i="2"/>
  <c r="Q477" i="2" s="1"/>
  <c r="P161" i="2"/>
  <c r="Q161" i="2" s="1"/>
  <c r="P24" i="2"/>
  <c r="Q24" i="2" s="1"/>
  <c r="P388" i="2"/>
  <c r="Q388" i="2" s="1"/>
  <c r="P405" i="2"/>
  <c r="Q405" i="2" s="1"/>
  <c r="P188" i="2"/>
  <c r="Q188" i="2" s="1"/>
  <c r="P235" i="2"/>
  <c r="Q235" i="2" s="1"/>
  <c r="P460" i="2"/>
  <c r="Q460" i="2" s="1"/>
  <c r="P467" i="2"/>
  <c r="Q467" i="2" s="1"/>
  <c r="P174" i="2"/>
  <c r="Q174" i="2" s="1"/>
  <c r="P255" i="2"/>
  <c r="Q255" i="2" s="1"/>
  <c r="P408" i="2"/>
  <c r="Q408" i="2" s="1"/>
  <c r="P362" i="2"/>
  <c r="P375" i="2"/>
  <c r="Q375" i="2" s="1"/>
  <c r="P456" i="2"/>
  <c r="Q456" i="2" s="1"/>
  <c r="P227" i="2"/>
  <c r="Q227" i="2" s="1"/>
  <c r="P3" i="2"/>
  <c r="P287" i="2"/>
  <c r="Q287" i="2" s="1"/>
  <c r="P387" i="2"/>
  <c r="Q387" i="2" s="1"/>
  <c r="P450" i="2"/>
  <c r="Q450" i="2" s="1"/>
  <c r="P354" i="2"/>
  <c r="Q354" i="2" s="1"/>
  <c r="P267" i="2"/>
  <c r="Q267" i="2" s="1"/>
  <c r="P168" i="2"/>
  <c r="Q168" i="2" s="1"/>
  <c r="P483" i="2"/>
  <c r="Q483" i="2" s="1"/>
  <c r="P142" i="2"/>
  <c r="Q142" i="2" s="1"/>
  <c r="P292" i="2"/>
  <c r="Q292" i="2" s="1"/>
  <c r="P321" i="2"/>
  <c r="Q321" i="2" s="1"/>
  <c r="P490" i="2"/>
  <c r="Q490" i="2" s="1"/>
  <c r="P205" i="2"/>
  <c r="P160" i="2"/>
  <c r="Q160" i="2" s="1"/>
  <c r="P432" i="2"/>
  <c r="Q432" i="2" s="1"/>
  <c r="P85" i="2"/>
  <c r="P489" i="2"/>
  <c r="Q489" i="2" s="1"/>
  <c r="P273" i="2"/>
  <c r="Q273" i="2" s="1"/>
  <c r="P265" i="2"/>
  <c r="P198" i="2"/>
  <c r="Q198" i="2" s="1"/>
  <c r="P199" i="2"/>
  <c r="Q199" i="2" s="1"/>
  <c r="P443" i="2"/>
  <c r="Q443" i="2" s="1"/>
  <c r="P156" i="2"/>
  <c r="Q156" i="2" s="1"/>
  <c r="P96" i="2"/>
  <c r="Q96" i="2" s="1"/>
  <c r="P204" i="2"/>
  <c r="Q204" i="2" s="1"/>
  <c r="P4" i="2"/>
  <c r="Q4" i="2" s="1"/>
  <c r="P44" i="2"/>
  <c r="Q44" i="2" s="1"/>
  <c r="P328" i="2"/>
  <c r="Q328" i="2" s="1"/>
  <c r="P269" i="2"/>
  <c r="Q269" i="2" s="1"/>
  <c r="P189" i="2"/>
  <c r="Q189" i="2" s="1"/>
  <c r="P146" i="2"/>
  <c r="P409" i="2"/>
  <c r="P266" i="2"/>
  <c r="P252" i="2"/>
  <c r="Q252" i="2" s="1"/>
  <c r="P415" i="2"/>
  <c r="Q415" i="2" s="1"/>
  <c r="P442" i="2"/>
  <c r="Q442" i="2" s="1"/>
  <c r="P317" i="2"/>
  <c r="Q317" i="2" s="1"/>
  <c r="P351" i="2"/>
  <c r="Q351" i="2" s="1"/>
  <c r="P271" i="2"/>
  <c r="Q271" i="2" s="1"/>
  <c r="P261" i="2"/>
  <c r="Q261" i="2" s="1"/>
  <c r="P152" i="2"/>
  <c r="Q152" i="2" s="1"/>
  <c r="P364" i="2"/>
  <c r="Q364" i="2" s="1"/>
  <c r="P313" i="2"/>
  <c r="P338" i="2"/>
  <c r="P496" i="2"/>
  <c r="Q496" i="2" s="1"/>
  <c r="P426" i="2"/>
  <c r="Q426" i="2" s="1"/>
  <c r="P176" i="2"/>
  <c r="Q176" i="2" s="1"/>
  <c r="P372" i="2"/>
  <c r="Q372" i="2" s="1"/>
  <c r="P200" i="2"/>
  <c r="Q200" i="2" s="1"/>
  <c r="P249" i="2"/>
  <c r="Q249" i="2" s="1"/>
  <c r="P233" i="2"/>
  <c r="Q233" i="2" s="1"/>
  <c r="P79" i="2"/>
  <c r="Q79" i="2" s="1"/>
  <c r="P136" i="2"/>
  <c r="Q136" i="2" s="1"/>
  <c r="P245" i="2"/>
  <c r="Q245" i="2" s="1"/>
  <c r="P366" i="2"/>
  <c r="Q366" i="2" s="1"/>
  <c r="P332" i="2"/>
  <c r="Q332" i="2" s="1"/>
  <c r="P394" i="2"/>
  <c r="Q394" i="2" s="1"/>
  <c r="P224" i="2"/>
  <c r="Q224" i="2" s="1"/>
  <c r="P435" i="2"/>
  <c r="Q435" i="2" s="1"/>
  <c r="P57" i="2"/>
  <c r="Q57" i="2" s="1"/>
  <c r="P69" i="2"/>
  <c r="Q69" i="2" s="1"/>
  <c r="P289" i="2"/>
  <c r="P487" i="2"/>
  <c r="Q487" i="2" s="1"/>
  <c r="P182" i="2"/>
  <c r="P73" i="2"/>
  <c r="Q73" i="2" s="1"/>
  <c r="P234" i="2"/>
  <c r="Q234" i="2" s="1"/>
  <c r="P191" i="2"/>
  <c r="Q191" i="2" s="1"/>
  <c r="P276" i="2"/>
  <c r="Q276" i="2" s="1"/>
  <c r="P87" i="2"/>
  <c r="Q87" i="2" s="1"/>
  <c r="P298" i="2"/>
  <c r="Q298" i="2" s="1"/>
  <c r="P478" i="2"/>
  <c r="Q478" i="2" s="1"/>
  <c r="P221" i="2"/>
  <c r="Q221" i="2" s="1"/>
  <c r="P113" i="2"/>
  <c r="Q113" i="2" s="1"/>
  <c r="P228" i="2"/>
  <c r="Q228" i="2" s="1"/>
  <c r="P19" i="2"/>
  <c r="Q19" i="2" s="1"/>
  <c r="P230" i="2"/>
  <c r="P357" i="2"/>
  <c r="Q357" i="2" s="1"/>
  <c r="P137" i="2"/>
  <c r="Q137" i="2" s="1"/>
  <c r="P439" i="2"/>
  <c r="Q439" i="2" s="1"/>
  <c r="P498" i="2"/>
  <c r="Q498" i="2" s="1"/>
  <c r="P421" i="2"/>
  <c r="Q421" i="2" s="1"/>
  <c r="P390" i="2"/>
  <c r="Q390" i="2" s="1"/>
  <c r="P404" i="2"/>
  <c r="Q404" i="2" s="1"/>
  <c r="P368" i="2"/>
  <c r="Q368" i="2" s="1"/>
  <c r="P18" i="2"/>
  <c r="Q18" i="2" s="1"/>
  <c r="P95" i="2"/>
  <c r="Q95" i="2" s="1"/>
  <c r="P414" i="2"/>
  <c r="Q414" i="2" s="1"/>
  <c r="P27" i="2"/>
  <c r="Q27" i="2" s="1"/>
  <c r="P429" i="2"/>
  <c r="Q429" i="2" s="1"/>
  <c r="P476" i="2"/>
  <c r="Q476" i="2" s="1"/>
  <c r="P446" i="2"/>
  <c r="P485" i="2"/>
  <c r="Q485" i="2" s="1"/>
  <c r="P67" i="2"/>
  <c r="Q67" i="2" s="1"/>
  <c r="O353" i="2"/>
  <c r="O131" i="2"/>
  <c r="O294" i="2"/>
  <c r="O159" i="2"/>
  <c r="O214" i="2"/>
  <c r="O379" i="2"/>
  <c r="O330" i="2"/>
  <c r="O339" i="2"/>
  <c r="O434" i="2"/>
  <c r="O253" i="2"/>
  <c r="O72" i="2"/>
  <c r="O254" i="2"/>
  <c r="O277" i="2"/>
  <c r="O237" i="2"/>
  <c r="O308" i="2"/>
  <c r="O158" i="2"/>
  <c r="O452" i="2"/>
  <c r="O240" i="2"/>
  <c r="O325" i="2"/>
  <c r="O466" i="2"/>
  <c r="O108" i="2"/>
  <c r="O306" i="2"/>
  <c r="O326" i="2"/>
  <c r="O479" i="2"/>
  <c r="O419" i="2"/>
  <c r="O481" i="2"/>
  <c r="O52" i="2"/>
  <c r="O125" i="2"/>
  <c r="O157" i="2"/>
  <c r="O215" i="2"/>
  <c r="O493" i="2"/>
  <c r="O105" i="2"/>
  <c r="O46" i="2"/>
  <c r="O38" i="2"/>
  <c r="O385" i="2"/>
  <c r="O147" i="2"/>
  <c r="O180" i="2"/>
  <c r="O469" i="2"/>
  <c r="O391" i="2"/>
  <c r="O373" i="2"/>
  <c r="O345" i="2"/>
  <c r="O381" i="2"/>
  <c r="O480" i="2"/>
  <c r="O295" i="2"/>
  <c r="O392" i="2"/>
  <c r="O264" i="2"/>
  <c r="O175" i="2"/>
  <c r="O484" i="2"/>
  <c r="O501" i="2"/>
  <c r="O285" i="2"/>
  <c r="O50" i="2"/>
  <c r="O107" i="2"/>
  <c r="O423" i="2"/>
  <c r="O333" i="2"/>
  <c r="O473" i="2"/>
  <c r="O246" i="2"/>
  <c r="O355" i="2"/>
  <c r="O454" i="2"/>
  <c r="O86" i="2"/>
  <c r="O400" i="2"/>
  <c r="O178" i="2"/>
  <c r="O62" i="2"/>
  <c r="O220" i="2"/>
  <c r="O356" i="2"/>
  <c r="O31" i="2"/>
  <c r="O305" i="2"/>
  <c r="O272" i="2"/>
  <c r="O291" i="2"/>
  <c r="O92" i="2"/>
  <c r="O500" i="2"/>
  <c r="O218" i="2"/>
  <c r="O281" i="2"/>
  <c r="O472" i="2"/>
  <c r="O41" i="2"/>
  <c r="O238" i="2"/>
  <c r="O71" i="2"/>
  <c r="O457" i="2"/>
  <c r="O114" i="2"/>
  <c r="O420" i="2"/>
  <c r="O84" i="2"/>
  <c r="O343" i="2"/>
  <c r="O327" i="2"/>
  <c r="O216" i="2"/>
  <c r="O117" i="2"/>
  <c r="O282" i="2"/>
  <c r="O278" i="2"/>
  <c r="O150" i="2"/>
  <c r="O177" i="2"/>
  <c r="O455" i="2"/>
  <c r="O268" i="2"/>
  <c r="O310" i="2"/>
  <c r="O280" i="2"/>
  <c r="O64" i="2"/>
  <c r="O103" i="2"/>
  <c r="O380" i="2"/>
  <c r="O315" i="2"/>
  <c r="O384" i="2"/>
  <c r="O209" i="2"/>
  <c r="O242" i="2"/>
  <c r="O358" i="2"/>
  <c r="O346" i="2"/>
  <c r="O197" i="2"/>
  <c r="O78" i="2"/>
  <c r="O172" i="2"/>
  <c r="O143" i="2"/>
  <c r="O232" i="2"/>
  <c r="O324" i="2"/>
  <c r="O406" i="2"/>
  <c r="O283" i="2"/>
  <c r="O109" i="2"/>
  <c r="O296" i="2"/>
  <c r="O382" i="2"/>
  <c r="O196" i="2"/>
  <c r="O120" i="2"/>
  <c r="O304" i="2"/>
  <c r="O144" i="2"/>
  <c r="O494" i="2"/>
  <c r="O154" i="2"/>
  <c r="O9" i="2"/>
  <c r="O187" i="2"/>
  <c r="O471" i="2"/>
  <c r="O63" i="2"/>
  <c r="O303" i="2"/>
  <c r="O411" i="2"/>
  <c r="O195" i="2"/>
  <c r="O474" i="2"/>
  <c r="O395" i="2"/>
  <c r="O396" i="2"/>
  <c r="O76" i="2"/>
  <c r="O13" i="2"/>
  <c r="O441" i="2"/>
  <c r="O438" i="2"/>
  <c r="O231" i="2"/>
  <c r="O251" i="2"/>
  <c r="O139" i="2"/>
  <c r="O274" i="2"/>
  <c r="O393" i="2"/>
  <c r="O29" i="2"/>
  <c r="O465" i="2"/>
  <c r="O309" i="2"/>
  <c r="O320" i="2"/>
  <c r="O312" i="2"/>
  <c r="O323" i="2"/>
  <c r="O194" i="2"/>
  <c r="O433" i="2"/>
  <c r="O98" i="2"/>
  <c r="O336" i="2"/>
  <c r="O89" i="2"/>
  <c r="O21" i="2"/>
  <c r="O363" i="2"/>
  <c r="O314" i="2"/>
  <c r="O192" i="2"/>
  <c r="O203" i="2"/>
  <c r="O65" i="2"/>
  <c r="O6" i="2"/>
  <c r="O447" i="2"/>
  <c r="O49" i="2"/>
  <c r="O115" i="2"/>
  <c r="O40" i="2"/>
  <c r="O322" i="2"/>
  <c r="O11" i="2"/>
  <c r="O464" i="2"/>
  <c r="O403" i="2"/>
  <c r="O100" i="2"/>
  <c r="O22" i="2"/>
  <c r="O91" i="2"/>
  <c r="O166" i="2"/>
  <c r="O128" i="2"/>
  <c r="O229" i="2"/>
  <c r="O448" i="2"/>
  <c r="O377" i="2"/>
  <c r="O201" i="2"/>
  <c r="O101" i="2"/>
  <c r="O186" i="2"/>
  <c r="O444" i="2"/>
  <c r="O248" i="2"/>
  <c r="O367" i="2"/>
  <c r="O81" i="2"/>
  <c r="O407" i="2"/>
  <c r="O334" i="2"/>
  <c r="O401" i="2"/>
  <c r="O410" i="2"/>
  <c r="O75" i="2"/>
  <c r="O5" i="2"/>
  <c r="O17" i="2"/>
  <c r="O223" i="2"/>
  <c r="O77" i="2"/>
  <c r="O148" i="2"/>
  <c r="O66" i="2"/>
  <c r="O258" i="2"/>
  <c r="O397" i="2"/>
  <c r="O184" i="2"/>
  <c r="O341" i="2"/>
  <c r="O93" i="2"/>
  <c r="O293" i="2"/>
  <c r="O225" i="2"/>
  <c r="O279" i="2"/>
  <c r="O302" i="2"/>
  <c r="O90" i="2"/>
  <c r="O461" i="2"/>
  <c r="O378" i="2"/>
  <c r="O398" i="2"/>
  <c r="O495" i="2"/>
  <c r="O417" i="2"/>
  <c r="O164" i="2"/>
  <c r="O270" i="2"/>
  <c r="O436" i="2"/>
  <c r="O10" i="2"/>
  <c r="O210" i="2"/>
  <c r="O262" i="2"/>
  <c r="O8" i="2"/>
  <c r="O383" i="2"/>
  <c r="O2" i="2"/>
  <c r="O335" i="2"/>
  <c r="O300" i="2"/>
  <c r="O140" i="2"/>
  <c r="O301" i="2"/>
  <c r="O123" i="2"/>
  <c r="O290" i="2"/>
  <c r="O424" i="2"/>
  <c r="O138" i="2"/>
  <c r="O257" i="2"/>
  <c r="O127" i="2"/>
  <c r="O299" i="2"/>
  <c r="O202" i="2"/>
  <c r="O463" i="2"/>
  <c r="O94" i="2"/>
  <c r="O468" i="2"/>
  <c r="O193" i="2"/>
  <c r="O412" i="2"/>
  <c r="O30" i="2"/>
  <c r="O386" i="2"/>
  <c r="O239" i="2"/>
  <c r="O32" i="2"/>
  <c r="O275" i="2"/>
  <c r="O488" i="2"/>
  <c r="O170" i="2"/>
  <c r="O307" i="2"/>
  <c r="O427" i="2"/>
  <c r="O207" i="2"/>
  <c r="O121" i="2"/>
  <c r="O97" i="2"/>
  <c r="O25" i="2"/>
  <c r="O83" i="2"/>
  <c r="O179" i="2"/>
  <c r="O371" i="2"/>
  <c r="O236" i="2"/>
  <c r="O226" i="2"/>
  <c r="O16" i="2"/>
  <c r="O20" i="2"/>
  <c r="O181" i="2"/>
  <c r="O499" i="2"/>
  <c r="O416" i="2"/>
  <c r="O112" i="2"/>
  <c r="O48" i="2"/>
  <c r="O445" i="2"/>
  <c r="O185" i="2"/>
  <c r="O33" i="2"/>
  <c r="O319" i="2"/>
  <c r="O43" i="2"/>
  <c r="O68" i="2"/>
  <c r="O124" i="2"/>
  <c r="O422" i="2"/>
  <c r="O316" i="2"/>
  <c r="O165" i="2"/>
  <c r="O56" i="2"/>
  <c r="O74" i="2"/>
  <c r="O116" i="2"/>
  <c r="O60" i="2"/>
  <c r="O284" i="2"/>
  <c r="O263" i="2"/>
  <c r="O247" i="2"/>
  <c r="O370" i="2"/>
  <c r="O331" i="2"/>
  <c r="O497" i="2"/>
  <c r="O12" i="2"/>
  <c r="O217" i="2"/>
  <c r="O449" i="2"/>
  <c r="O126" i="2"/>
  <c r="O376" i="2"/>
  <c r="O59" i="2"/>
  <c r="O167" i="2"/>
  <c r="O132" i="2"/>
  <c r="O329" i="2"/>
  <c r="O361" i="2"/>
  <c r="O437" i="2"/>
  <c r="O111" i="2"/>
  <c r="O15" i="2"/>
  <c r="O352" i="2"/>
  <c r="O458" i="2"/>
  <c r="O70" i="2"/>
  <c r="O318" i="2"/>
  <c r="O211" i="2"/>
  <c r="O51" i="2"/>
  <c r="O418" i="2"/>
  <c r="O431" i="2"/>
  <c r="O23" i="2"/>
  <c r="O53" i="2"/>
  <c r="O492" i="2"/>
  <c r="O54" i="2"/>
  <c r="O61" i="2"/>
  <c r="O26" i="2"/>
  <c r="O374" i="2"/>
  <c r="O163" i="2"/>
  <c r="O141" i="2"/>
  <c r="O34" i="2"/>
  <c r="O213" i="2"/>
  <c r="O110" i="2"/>
  <c r="O122" i="2"/>
  <c r="O425" i="2"/>
  <c r="O155" i="2"/>
  <c r="O99" i="2"/>
  <c r="O58" i="2"/>
  <c r="O169" i="2"/>
  <c r="O14" i="2"/>
  <c r="O453" i="2"/>
  <c r="O145" i="2"/>
  <c r="O369" i="2"/>
  <c r="O104" i="2"/>
  <c r="O35" i="2"/>
  <c r="O219" i="2"/>
  <c r="O153" i="2"/>
  <c r="O311" i="2"/>
  <c r="O135" i="2"/>
  <c r="O440" i="2"/>
  <c r="O250" i="2"/>
  <c r="O36" i="2"/>
  <c r="O402" i="2"/>
  <c r="O491" i="2"/>
  <c r="O360" i="2"/>
  <c r="O190" i="2"/>
  <c r="O47" i="2"/>
  <c r="O183" i="2"/>
  <c r="O102" i="2"/>
  <c r="O451" i="2"/>
  <c r="O171" i="2"/>
  <c r="O260" i="2"/>
  <c r="O288" i="2"/>
  <c r="O222" i="2"/>
  <c r="O212" i="2"/>
  <c r="O82" i="2"/>
  <c r="O286" i="2"/>
  <c r="O7" i="2"/>
  <c r="O133" i="2"/>
  <c r="O162" i="2"/>
  <c r="O297" i="2"/>
  <c r="O80" i="2"/>
  <c r="O244" i="2"/>
  <c r="O430" i="2"/>
  <c r="O129" i="2"/>
  <c r="O208" i="2"/>
  <c r="O399" i="2"/>
  <c r="O55" i="2"/>
  <c r="O342" i="2"/>
  <c r="O134" i="2"/>
  <c r="O340" i="2"/>
  <c r="O459" i="2"/>
  <c r="O350" i="2"/>
  <c r="O337" i="2"/>
  <c r="O348" i="2"/>
  <c r="O241" i="2"/>
  <c r="O344" i="2"/>
  <c r="O88" i="2"/>
  <c r="O470" i="2"/>
  <c r="O151" i="2"/>
  <c r="O37" i="2"/>
  <c r="O45" i="2"/>
  <c r="O39" i="2"/>
  <c r="O359" i="2"/>
  <c r="O106" i="2"/>
  <c r="O413" i="2"/>
  <c r="O389" i="2"/>
  <c r="O243" i="2"/>
  <c r="O349" i="2"/>
  <c r="O256" i="2"/>
  <c r="O119" i="2"/>
  <c r="O173" i="2"/>
  <c r="O486" i="2"/>
  <c r="O462" i="2"/>
  <c r="O259" i="2"/>
  <c r="O42" i="2"/>
  <c r="O28" i="2"/>
  <c r="O347" i="2"/>
  <c r="O365" i="2"/>
  <c r="O428" i="2"/>
  <c r="O475" i="2"/>
  <c r="O118" i="2"/>
  <c r="O130" i="2"/>
  <c r="O206" i="2"/>
  <c r="O149" i="2"/>
  <c r="O482" i="2"/>
  <c r="O477" i="2"/>
  <c r="O161" i="2"/>
  <c r="O24" i="2"/>
  <c r="O388" i="2"/>
  <c r="O405" i="2"/>
  <c r="O188" i="2"/>
  <c r="O235" i="2"/>
  <c r="O460" i="2"/>
  <c r="O467" i="2"/>
  <c r="O174" i="2"/>
  <c r="O255" i="2"/>
  <c r="O408" i="2"/>
  <c r="O362" i="2"/>
  <c r="O375" i="2"/>
  <c r="O456" i="2"/>
  <c r="O227" i="2"/>
  <c r="O3" i="2"/>
  <c r="O287" i="2"/>
  <c r="O387" i="2"/>
  <c r="O450" i="2"/>
  <c r="O354" i="2"/>
  <c r="O267" i="2"/>
  <c r="O168" i="2"/>
  <c r="O483" i="2"/>
  <c r="O142" i="2"/>
  <c r="O292" i="2"/>
  <c r="O321" i="2"/>
  <c r="O490" i="2"/>
  <c r="O205" i="2"/>
  <c r="O160" i="2"/>
  <c r="O432" i="2"/>
  <c r="O85" i="2"/>
  <c r="O489" i="2"/>
  <c r="O273" i="2"/>
  <c r="O265" i="2"/>
  <c r="O198" i="2"/>
  <c r="O199" i="2"/>
  <c r="O443" i="2"/>
  <c r="O156" i="2"/>
  <c r="O96" i="2"/>
  <c r="O204" i="2"/>
  <c r="O4" i="2"/>
  <c r="O44" i="2"/>
  <c r="O328" i="2"/>
  <c r="O269" i="2"/>
  <c r="O189" i="2"/>
  <c r="O146" i="2"/>
  <c r="O409" i="2"/>
  <c r="O266" i="2"/>
  <c r="O252" i="2"/>
  <c r="O415" i="2"/>
  <c r="O442" i="2"/>
  <c r="O317" i="2"/>
  <c r="O351" i="2"/>
  <c r="O271" i="2"/>
  <c r="O261" i="2"/>
  <c r="O152" i="2"/>
  <c r="O364" i="2"/>
  <c r="O313" i="2"/>
  <c r="O338" i="2"/>
  <c r="O496" i="2"/>
  <c r="O426" i="2"/>
  <c r="O176" i="2"/>
  <c r="O372" i="2"/>
  <c r="O200" i="2"/>
  <c r="O249" i="2"/>
  <c r="O233" i="2"/>
  <c r="O79" i="2"/>
  <c r="O136" i="2"/>
  <c r="O245" i="2"/>
  <c r="O366" i="2"/>
  <c r="O332" i="2"/>
  <c r="O394" i="2"/>
  <c r="O224" i="2"/>
  <c r="O435" i="2"/>
  <c r="O57" i="2"/>
  <c r="O69" i="2"/>
  <c r="O289" i="2"/>
  <c r="O487" i="2"/>
  <c r="O182" i="2"/>
  <c r="O73" i="2"/>
  <c r="O234" i="2"/>
  <c r="O191" i="2"/>
  <c r="O276" i="2"/>
  <c r="O87" i="2"/>
  <c r="O298" i="2"/>
  <c r="O478" i="2"/>
  <c r="O221" i="2"/>
  <c r="O113" i="2"/>
  <c r="O228" i="2"/>
  <c r="O19" i="2"/>
  <c r="O230" i="2"/>
  <c r="O357" i="2"/>
  <c r="O137" i="2"/>
  <c r="O439" i="2"/>
  <c r="O498" i="2"/>
  <c r="O421" i="2"/>
  <c r="O390" i="2"/>
  <c r="O404" i="2"/>
  <c r="O368" i="2"/>
  <c r="O18" i="2"/>
  <c r="O95" i="2"/>
  <c r="O414" i="2"/>
  <c r="O27" i="2"/>
  <c r="O429" i="2"/>
  <c r="O476" i="2"/>
  <c r="O446" i="2"/>
  <c r="O485" i="2"/>
  <c r="O67" i="2"/>
  <c r="I353" i="2"/>
  <c r="J353" i="2" s="1"/>
  <c r="K353" i="2" s="1"/>
  <c r="I131" i="2"/>
  <c r="J131" i="2" s="1"/>
  <c r="K131" i="2" s="1"/>
  <c r="I294" i="2"/>
  <c r="J294" i="2" s="1"/>
  <c r="K294" i="2" s="1"/>
  <c r="I159" i="2"/>
  <c r="I214" i="2"/>
  <c r="J214" i="2" s="1"/>
  <c r="K214" i="2" s="1"/>
  <c r="I379" i="2"/>
  <c r="J379" i="2" s="1"/>
  <c r="K379" i="2" s="1"/>
  <c r="I330" i="2"/>
  <c r="J330" i="2" s="1"/>
  <c r="K330" i="2" s="1"/>
  <c r="I339" i="2"/>
  <c r="I434" i="2"/>
  <c r="J434" i="2" s="1"/>
  <c r="K434" i="2" s="1"/>
  <c r="I253" i="2"/>
  <c r="J253" i="2" s="1"/>
  <c r="K253" i="2" s="1"/>
  <c r="I72" i="2"/>
  <c r="J72" i="2" s="1"/>
  <c r="K72" i="2" s="1"/>
  <c r="I254" i="2"/>
  <c r="J254" i="2" s="1"/>
  <c r="K254" i="2" s="1"/>
  <c r="I277" i="2"/>
  <c r="J277" i="2" s="1"/>
  <c r="K277" i="2" s="1"/>
  <c r="I237" i="2"/>
  <c r="J237" i="2" s="1"/>
  <c r="K237" i="2" s="1"/>
  <c r="I308" i="2"/>
  <c r="J308" i="2" s="1"/>
  <c r="K308" i="2" s="1"/>
  <c r="I158" i="2"/>
  <c r="J158" i="2" s="1"/>
  <c r="K158" i="2" s="1"/>
  <c r="I452" i="2"/>
  <c r="J452" i="2" s="1"/>
  <c r="K452" i="2" s="1"/>
  <c r="I240" i="2"/>
  <c r="J240" i="2" s="1"/>
  <c r="K240" i="2" s="1"/>
  <c r="I325" i="2"/>
  <c r="J325" i="2" s="1"/>
  <c r="K325" i="2" s="1"/>
  <c r="I466" i="2"/>
  <c r="J466" i="2" s="1"/>
  <c r="K466" i="2" s="1"/>
  <c r="I108" i="2"/>
  <c r="J108" i="2" s="1"/>
  <c r="K108" i="2" s="1"/>
  <c r="I306" i="2"/>
  <c r="J306" i="2" s="1"/>
  <c r="K306" i="2" s="1"/>
  <c r="I326" i="2"/>
  <c r="J326" i="2" s="1"/>
  <c r="K326" i="2" s="1"/>
  <c r="I479" i="2"/>
  <c r="J479" i="2" s="1"/>
  <c r="K479" i="2" s="1"/>
  <c r="I419" i="2"/>
  <c r="J419" i="2" s="1"/>
  <c r="K419" i="2" s="1"/>
  <c r="I481" i="2"/>
  <c r="J481" i="2" s="1"/>
  <c r="K481" i="2" s="1"/>
  <c r="I52" i="2"/>
  <c r="J52" i="2" s="1"/>
  <c r="K52" i="2" s="1"/>
  <c r="I125" i="2"/>
  <c r="J125" i="2" s="1"/>
  <c r="K125" i="2" s="1"/>
  <c r="I157" i="2"/>
  <c r="J157" i="2" s="1"/>
  <c r="K157" i="2" s="1"/>
  <c r="I215" i="2"/>
  <c r="J215" i="2" s="1"/>
  <c r="K215" i="2" s="1"/>
  <c r="I493" i="2"/>
  <c r="J493" i="2" s="1"/>
  <c r="K493" i="2" s="1"/>
  <c r="I105" i="2"/>
  <c r="J105" i="2" s="1"/>
  <c r="K105" i="2" s="1"/>
  <c r="I46" i="2"/>
  <c r="J46" i="2" s="1"/>
  <c r="K46" i="2" s="1"/>
  <c r="I38" i="2"/>
  <c r="J38" i="2" s="1"/>
  <c r="K38" i="2" s="1"/>
  <c r="I385" i="2"/>
  <c r="J385" i="2" s="1"/>
  <c r="K385" i="2" s="1"/>
  <c r="I147" i="2"/>
  <c r="I180" i="2"/>
  <c r="J180" i="2" s="1"/>
  <c r="K180" i="2" s="1"/>
  <c r="I469" i="2"/>
  <c r="J469" i="2" s="1"/>
  <c r="K469" i="2" s="1"/>
  <c r="I391" i="2"/>
  <c r="J391" i="2" s="1"/>
  <c r="K391" i="2" s="1"/>
  <c r="I373" i="2"/>
  <c r="J373" i="2" s="1"/>
  <c r="K373" i="2" s="1"/>
  <c r="I345" i="2"/>
  <c r="J345" i="2" s="1"/>
  <c r="K345" i="2" s="1"/>
  <c r="I381" i="2"/>
  <c r="J381" i="2" s="1"/>
  <c r="K381" i="2" s="1"/>
  <c r="I480" i="2"/>
  <c r="J480" i="2" s="1"/>
  <c r="K480" i="2" s="1"/>
  <c r="I295" i="2"/>
  <c r="J295" i="2" s="1"/>
  <c r="K295" i="2" s="1"/>
  <c r="I392" i="2"/>
  <c r="J392" i="2" s="1"/>
  <c r="K392" i="2" s="1"/>
  <c r="I264" i="2"/>
  <c r="J264" i="2" s="1"/>
  <c r="K264" i="2" s="1"/>
  <c r="I175" i="2"/>
  <c r="J175" i="2" s="1"/>
  <c r="K175" i="2" s="1"/>
  <c r="I484" i="2"/>
  <c r="J484" i="2" s="1"/>
  <c r="K484" i="2" s="1"/>
  <c r="I501" i="2"/>
  <c r="J501" i="2" s="1"/>
  <c r="K501" i="2" s="1"/>
  <c r="I285" i="2"/>
  <c r="J285" i="2" s="1"/>
  <c r="K285" i="2" s="1"/>
  <c r="I50" i="2"/>
  <c r="J50" i="2" s="1"/>
  <c r="K50" i="2" s="1"/>
  <c r="I107" i="2"/>
  <c r="J107" i="2" s="1"/>
  <c r="K107" i="2" s="1"/>
  <c r="I423" i="2"/>
  <c r="J423" i="2" s="1"/>
  <c r="K423" i="2" s="1"/>
  <c r="I333" i="2"/>
  <c r="J333" i="2" s="1"/>
  <c r="K333" i="2" s="1"/>
  <c r="I473" i="2"/>
  <c r="J473" i="2" s="1"/>
  <c r="K473" i="2" s="1"/>
  <c r="I246" i="2"/>
  <c r="J246" i="2" s="1"/>
  <c r="K246" i="2" s="1"/>
  <c r="I355" i="2"/>
  <c r="J355" i="2" s="1"/>
  <c r="K355" i="2" s="1"/>
  <c r="I454" i="2"/>
  <c r="J454" i="2" s="1"/>
  <c r="K454" i="2" s="1"/>
  <c r="I86" i="2"/>
  <c r="J86" i="2" s="1"/>
  <c r="K86" i="2" s="1"/>
  <c r="I400" i="2"/>
  <c r="J400" i="2" s="1"/>
  <c r="K400" i="2" s="1"/>
  <c r="I178" i="2"/>
  <c r="J178" i="2" s="1"/>
  <c r="K178" i="2" s="1"/>
  <c r="I62" i="2"/>
  <c r="J62" i="2" s="1"/>
  <c r="K62" i="2" s="1"/>
  <c r="I220" i="2"/>
  <c r="J220" i="2" s="1"/>
  <c r="K220" i="2" s="1"/>
  <c r="I356" i="2"/>
  <c r="J356" i="2" s="1"/>
  <c r="K356" i="2" s="1"/>
  <c r="I31" i="2"/>
  <c r="J31" i="2" s="1"/>
  <c r="K31" i="2" s="1"/>
  <c r="I305" i="2"/>
  <c r="J305" i="2" s="1"/>
  <c r="K305" i="2" s="1"/>
  <c r="I272" i="2"/>
  <c r="J272" i="2" s="1"/>
  <c r="K272" i="2" s="1"/>
  <c r="I291" i="2"/>
  <c r="I92" i="2"/>
  <c r="J92" i="2" s="1"/>
  <c r="K92" i="2" s="1"/>
  <c r="I500" i="2"/>
  <c r="J500" i="2" s="1"/>
  <c r="K500" i="2" s="1"/>
  <c r="I218" i="2"/>
  <c r="J218" i="2" s="1"/>
  <c r="K218" i="2" s="1"/>
  <c r="I281" i="2"/>
  <c r="J281" i="2" s="1"/>
  <c r="K281" i="2" s="1"/>
  <c r="I472" i="2"/>
  <c r="J472" i="2" s="1"/>
  <c r="K472" i="2" s="1"/>
  <c r="I41" i="2"/>
  <c r="J41" i="2" s="1"/>
  <c r="K41" i="2" s="1"/>
  <c r="I238" i="2"/>
  <c r="J238" i="2" s="1"/>
  <c r="K238" i="2" s="1"/>
  <c r="I71" i="2"/>
  <c r="J71" i="2" s="1"/>
  <c r="K71" i="2" s="1"/>
  <c r="I457" i="2"/>
  <c r="J457" i="2" s="1"/>
  <c r="K457" i="2" s="1"/>
  <c r="I114" i="2"/>
  <c r="J114" i="2" s="1"/>
  <c r="K114" i="2" s="1"/>
  <c r="I420" i="2"/>
  <c r="J420" i="2" s="1"/>
  <c r="K420" i="2" s="1"/>
  <c r="I84" i="2"/>
  <c r="J84" i="2" s="1"/>
  <c r="K84" i="2" s="1"/>
  <c r="I343" i="2"/>
  <c r="J343" i="2" s="1"/>
  <c r="K343" i="2" s="1"/>
  <c r="I327" i="2"/>
  <c r="I216" i="2"/>
  <c r="J216" i="2" s="1"/>
  <c r="K216" i="2" s="1"/>
  <c r="I117" i="2"/>
  <c r="J117" i="2" s="1"/>
  <c r="K117" i="2" s="1"/>
  <c r="I282" i="2"/>
  <c r="J282" i="2" s="1"/>
  <c r="K282" i="2" s="1"/>
  <c r="I278" i="2"/>
  <c r="J278" i="2" s="1"/>
  <c r="K278" i="2" s="1"/>
  <c r="I150" i="2"/>
  <c r="J150" i="2" s="1"/>
  <c r="K150" i="2" s="1"/>
  <c r="I177" i="2"/>
  <c r="J177" i="2" s="1"/>
  <c r="K177" i="2" s="1"/>
  <c r="I455" i="2"/>
  <c r="J455" i="2" s="1"/>
  <c r="K455" i="2" s="1"/>
  <c r="I268" i="2"/>
  <c r="J268" i="2" s="1"/>
  <c r="K268" i="2" s="1"/>
  <c r="I310" i="2"/>
  <c r="J310" i="2" s="1"/>
  <c r="K310" i="2" s="1"/>
  <c r="I280" i="2"/>
  <c r="J280" i="2" s="1"/>
  <c r="K280" i="2" s="1"/>
  <c r="I64" i="2"/>
  <c r="J64" i="2" s="1"/>
  <c r="K64" i="2" s="1"/>
  <c r="I103" i="2"/>
  <c r="J103" i="2" s="1"/>
  <c r="K103" i="2" s="1"/>
  <c r="I380" i="2"/>
  <c r="J380" i="2" s="1"/>
  <c r="K380" i="2" s="1"/>
  <c r="I315" i="2"/>
  <c r="I384" i="2"/>
  <c r="J384" i="2" s="1"/>
  <c r="K384" i="2" s="1"/>
  <c r="I209" i="2"/>
  <c r="J209" i="2" s="1"/>
  <c r="K209" i="2" s="1"/>
  <c r="I242" i="2"/>
  <c r="J242" i="2" s="1"/>
  <c r="K242" i="2" s="1"/>
  <c r="I358" i="2"/>
  <c r="J358" i="2" s="1"/>
  <c r="K358" i="2" s="1"/>
  <c r="I346" i="2"/>
  <c r="J346" i="2" s="1"/>
  <c r="K346" i="2" s="1"/>
  <c r="I197" i="2"/>
  <c r="J197" i="2" s="1"/>
  <c r="K197" i="2" s="1"/>
  <c r="I78" i="2"/>
  <c r="J78" i="2" s="1"/>
  <c r="K78" i="2" s="1"/>
  <c r="I172" i="2"/>
  <c r="J172" i="2" s="1"/>
  <c r="K172" i="2" s="1"/>
  <c r="I143" i="2"/>
  <c r="J143" i="2" s="1"/>
  <c r="K143" i="2" s="1"/>
  <c r="I232" i="2"/>
  <c r="J232" i="2" s="1"/>
  <c r="K232" i="2" s="1"/>
  <c r="I324" i="2"/>
  <c r="J324" i="2" s="1"/>
  <c r="K324" i="2" s="1"/>
  <c r="I406" i="2"/>
  <c r="J406" i="2" s="1"/>
  <c r="K406" i="2" s="1"/>
  <c r="I283" i="2"/>
  <c r="J283" i="2" s="1"/>
  <c r="K283" i="2" s="1"/>
  <c r="I109" i="2"/>
  <c r="J109" i="2" s="1"/>
  <c r="K109" i="2" s="1"/>
  <c r="I296" i="2"/>
  <c r="J296" i="2" s="1"/>
  <c r="K296" i="2" s="1"/>
  <c r="I382" i="2"/>
  <c r="J382" i="2" s="1"/>
  <c r="K382" i="2" s="1"/>
  <c r="I196" i="2"/>
  <c r="J196" i="2" s="1"/>
  <c r="K196" i="2" s="1"/>
  <c r="I120" i="2"/>
  <c r="J120" i="2" s="1"/>
  <c r="K120" i="2" s="1"/>
  <c r="I304" i="2"/>
  <c r="J304" i="2" s="1"/>
  <c r="K304" i="2" s="1"/>
  <c r="I144" i="2"/>
  <c r="J144" i="2" s="1"/>
  <c r="K144" i="2" s="1"/>
  <c r="I494" i="2"/>
  <c r="J494" i="2" s="1"/>
  <c r="K494" i="2" s="1"/>
  <c r="I154" i="2"/>
  <c r="J154" i="2" s="1"/>
  <c r="K154" i="2" s="1"/>
  <c r="I9" i="2"/>
  <c r="J9" i="2" s="1"/>
  <c r="K9" i="2" s="1"/>
  <c r="I187" i="2"/>
  <c r="J187" i="2" s="1"/>
  <c r="K187" i="2" s="1"/>
  <c r="I471" i="2"/>
  <c r="I63" i="2"/>
  <c r="I303" i="2"/>
  <c r="I411" i="2"/>
  <c r="I195" i="2"/>
  <c r="J195" i="2" s="1"/>
  <c r="K195" i="2" s="1"/>
  <c r="I474" i="2"/>
  <c r="J474" i="2" s="1"/>
  <c r="K474" i="2" s="1"/>
  <c r="I395" i="2"/>
  <c r="J395" i="2" s="1"/>
  <c r="K395" i="2" s="1"/>
  <c r="I396" i="2"/>
  <c r="J396" i="2" s="1"/>
  <c r="K396" i="2" s="1"/>
  <c r="I76" i="2"/>
  <c r="J76" i="2" s="1"/>
  <c r="K76" i="2" s="1"/>
  <c r="I13" i="2"/>
  <c r="J13" i="2" s="1"/>
  <c r="K13" i="2" s="1"/>
  <c r="I441" i="2"/>
  <c r="J441" i="2" s="1"/>
  <c r="K441" i="2" s="1"/>
  <c r="I438" i="2"/>
  <c r="J438" i="2" s="1"/>
  <c r="K438" i="2" s="1"/>
  <c r="I231" i="2"/>
  <c r="I251" i="2"/>
  <c r="J251" i="2" s="1"/>
  <c r="K251" i="2" s="1"/>
  <c r="I139" i="2"/>
  <c r="J139" i="2" s="1"/>
  <c r="K139" i="2" s="1"/>
  <c r="I274" i="2"/>
  <c r="J274" i="2" s="1"/>
  <c r="K274" i="2" s="1"/>
  <c r="I393" i="2"/>
  <c r="J393" i="2" s="1"/>
  <c r="K393" i="2" s="1"/>
  <c r="I29" i="2"/>
  <c r="J29" i="2" s="1"/>
  <c r="K29" i="2" s="1"/>
  <c r="I465" i="2"/>
  <c r="J465" i="2" s="1"/>
  <c r="K465" i="2" s="1"/>
  <c r="I309" i="2"/>
  <c r="J309" i="2" s="1"/>
  <c r="K309" i="2" s="1"/>
  <c r="I320" i="2"/>
  <c r="J320" i="2" s="1"/>
  <c r="K320" i="2" s="1"/>
  <c r="I312" i="2"/>
  <c r="J312" i="2" s="1"/>
  <c r="K312" i="2" s="1"/>
  <c r="I323" i="2"/>
  <c r="J323" i="2" s="1"/>
  <c r="K323" i="2" s="1"/>
  <c r="I194" i="2"/>
  <c r="J194" i="2" s="1"/>
  <c r="K194" i="2" s="1"/>
  <c r="I433" i="2"/>
  <c r="J433" i="2" s="1"/>
  <c r="K433" i="2" s="1"/>
  <c r="I98" i="2"/>
  <c r="J98" i="2" s="1"/>
  <c r="K98" i="2" s="1"/>
  <c r="I336" i="2"/>
  <c r="J336" i="2" s="1"/>
  <c r="K336" i="2" s="1"/>
  <c r="I89" i="2"/>
  <c r="J89" i="2" s="1"/>
  <c r="K89" i="2" s="1"/>
  <c r="I21" i="2"/>
  <c r="J21" i="2" s="1"/>
  <c r="K21" i="2" s="1"/>
  <c r="I363" i="2"/>
  <c r="J363" i="2" s="1"/>
  <c r="K363" i="2" s="1"/>
  <c r="I314" i="2"/>
  <c r="J314" i="2" s="1"/>
  <c r="K314" i="2" s="1"/>
  <c r="I192" i="2"/>
  <c r="J192" i="2" s="1"/>
  <c r="K192" i="2" s="1"/>
  <c r="I203" i="2"/>
  <c r="J203" i="2" s="1"/>
  <c r="K203" i="2" s="1"/>
  <c r="I65" i="2"/>
  <c r="J65" i="2" s="1"/>
  <c r="K65" i="2" s="1"/>
  <c r="I6" i="2"/>
  <c r="J6" i="2" s="1"/>
  <c r="K6" i="2" s="1"/>
  <c r="I447" i="2"/>
  <c r="I49" i="2"/>
  <c r="J49" i="2" s="1"/>
  <c r="K49" i="2" s="1"/>
  <c r="I115" i="2"/>
  <c r="J115" i="2" s="1"/>
  <c r="K115" i="2" s="1"/>
  <c r="I40" i="2"/>
  <c r="J40" i="2" s="1"/>
  <c r="K40" i="2" s="1"/>
  <c r="I322" i="2"/>
  <c r="J322" i="2" s="1"/>
  <c r="K322" i="2" s="1"/>
  <c r="I11" i="2"/>
  <c r="J11" i="2" s="1"/>
  <c r="K11" i="2" s="1"/>
  <c r="I464" i="2"/>
  <c r="J464" i="2" s="1"/>
  <c r="K464" i="2" s="1"/>
  <c r="I403" i="2"/>
  <c r="J403" i="2" s="1"/>
  <c r="K403" i="2" s="1"/>
  <c r="I100" i="2"/>
  <c r="J100" i="2" s="1"/>
  <c r="K100" i="2" s="1"/>
  <c r="I22" i="2"/>
  <c r="J22" i="2" s="1"/>
  <c r="K22" i="2" s="1"/>
  <c r="I91" i="2"/>
  <c r="J91" i="2" s="1"/>
  <c r="K91" i="2" s="1"/>
  <c r="I166" i="2"/>
  <c r="J166" i="2" s="1"/>
  <c r="K166" i="2" s="1"/>
  <c r="I128" i="2"/>
  <c r="J128" i="2" s="1"/>
  <c r="K128" i="2" s="1"/>
  <c r="I229" i="2"/>
  <c r="J229" i="2" s="1"/>
  <c r="K229" i="2" s="1"/>
  <c r="I448" i="2"/>
  <c r="J448" i="2" s="1"/>
  <c r="K448" i="2" s="1"/>
  <c r="I377" i="2"/>
  <c r="J377" i="2" s="1"/>
  <c r="K377" i="2" s="1"/>
  <c r="I201" i="2"/>
  <c r="J201" i="2" s="1"/>
  <c r="K201" i="2" s="1"/>
  <c r="I101" i="2"/>
  <c r="J101" i="2" s="1"/>
  <c r="K101" i="2" s="1"/>
  <c r="I186" i="2"/>
  <c r="J186" i="2" s="1"/>
  <c r="K186" i="2" s="1"/>
  <c r="I444" i="2"/>
  <c r="J444" i="2" s="1"/>
  <c r="K444" i="2" s="1"/>
  <c r="I248" i="2"/>
  <c r="J248" i="2" s="1"/>
  <c r="K248" i="2" s="1"/>
  <c r="I367" i="2"/>
  <c r="J367" i="2" s="1"/>
  <c r="K367" i="2" s="1"/>
  <c r="I81" i="2"/>
  <c r="J81" i="2" s="1"/>
  <c r="K81" i="2" s="1"/>
  <c r="I407" i="2"/>
  <c r="J407" i="2" s="1"/>
  <c r="K407" i="2" s="1"/>
  <c r="I334" i="2"/>
  <c r="J334" i="2" s="1"/>
  <c r="K334" i="2" s="1"/>
  <c r="I401" i="2"/>
  <c r="J401" i="2" s="1"/>
  <c r="K401" i="2" s="1"/>
  <c r="I410" i="2"/>
  <c r="J410" i="2" s="1"/>
  <c r="K410" i="2" s="1"/>
  <c r="I75" i="2"/>
  <c r="I5" i="2"/>
  <c r="J5" i="2" s="1"/>
  <c r="K5" i="2" s="1"/>
  <c r="I17" i="2"/>
  <c r="J17" i="2" s="1"/>
  <c r="K17" i="2" s="1"/>
  <c r="I223" i="2"/>
  <c r="J223" i="2" s="1"/>
  <c r="K223" i="2" s="1"/>
  <c r="I77" i="2"/>
  <c r="J77" i="2" s="1"/>
  <c r="K77" i="2" s="1"/>
  <c r="I148" i="2"/>
  <c r="J148" i="2" s="1"/>
  <c r="K148" i="2" s="1"/>
  <c r="I66" i="2"/>
  <c r="J66" i="2" s="1"/>
  <c r="K66" i="2" s="1"/>
  <c r="I258" i="2"/>
  <c r="J258" i="2" s="1"/>
  <c r="K258" i="2" s="1"/>
  <c r="I397" i="2"/>
  <c r="J397" i="2" s="1"/>
  <c r="K397" i="2" s="1"/>
  <c r="I184" i="2"/>
  <c r="J184" i="2" s="1"/>
  <c r="K184" i="2" s="1"/>
  <c r="I341" i="2"/>
  <c r="J341" i="2" s="1"/>
  <c r="K341" i="2" s="1"/>
  <c r="I93" i="2"/>
  <c r="J93" i="2" s="1"/>
  <c r="K93" i="2" s="1"/>
  <c r="I293" i="2"/>
  <c r="J293" i="2" s="1"/>
  <c r="K293" i="2" s="1"/>
  <c r="I225" i="2"/>
  <c r="J225" i="2" s="1"/>
  <c r="K225" i="2" s="1"/>
  <c r="I279" i="2"/>
  <c r="J279" i="2" s="1"/>
  <c r="K279" i="2" s="1"/>
  <c r="I302" i="2"/>
  <c r="J302" i="2" s="1"/>
  <c r="K302" i="2" s="1"/>
  <c r="I90" i="2"/>
  <c r="J90" i="2" s="1"/>
  <c r="K90" i="2" s="1"/>
  <c r="I461" i="2"/>
  <c r="J461" i="2" s="1"/>
  <c r="K461" i="2" s="1"/>
  <c r="I378" i="2"/>
  <c r="J378" i="2" s="1"/>
  <c r="K378" i="2" s="1"/>
  <c r="I398" i="2"/>
  <c r="J398" i="2" s="1"/>
  <c r="K398" i="2" s="1"/>
  <c r="I495" i="2"/>
  <c r="I417" i="2"/>
  <c r="J417" i="2" s="1"/>
  <c r="K417" i="2" s="1"/>
  <c r="I164" i="2"/>
  <c r="J164" i="2" s="1"/>
  <c r="K164" i="2" s="1"/>
  <c r="I270" i="2"/>
  <c r="J270" i="2" s="1"/>
  <c r="K270" i="2" s="1"/>
  <c r="I436" i="2"/>
  <c r="J436" i="2" s="1"/>
  <c r="K436" i="2" s="1"/>
  <c r="I10" i="2"/>
  <c r="J10" i="2" s="1"/>
  <c r="K10" i="2" s="1"/>
  <c r="I210" i="2"/>
  <c r="J210" i="2" s="1"/>
  <c r="K210" i="2" s="1"/>
  <c r="I262" i="2"/>
  <c r="J262" i="2" s="1"/>
  <c r="K262" i="2" s="1"/>
  <c r="I8" i="2"/>
  <c r="J8" i="2" s="1"/>
  <c r="K8" i="2" s="1"/>
  <c r="I383" i="2"/>
  <c r="J383" i="2" s="1"/>
  <c r="K383" i="2" s="1"/>
  <c r="I2" i="2"/>
  <c r="J2" i="2" s="1"/>
  <c r="K2" i="2" s="1"/>
  <c r="I335" i="2"/>
  <c r="J335" i="2" s="1"/>
  <c r="K335" i="2" s="1"/>
  <c r="I300" i="2"/>
  <c r="J300" i="2" s="1"/>
  <c r="K300" i="2" s="1"/>
  <c r="I140" i="2"/>
  <c r="J140" i="2" s="1"/>
  <c r="K140" i="2" s="1"/>
  <c r="I301" i="2"/>
  <c r="J301" i="2" s="1"/>
  <c r="K301" i="2" s="1"/>
  <c r="I123" i="2"/>
  <c r="I290" i="2"/>
  <c r="J290" i="2" s="1"/>
  <c r="K290" i="2" s="1"/>
  <c r="I424" i="2"/>
  <c r="J424" i="2" s="1"/>
  <c r="K424" i="2" s="1"/>
  <c r="I138" i="2"/>
  <c r="J138" i="2" s="1"/>
  <c r="K138" i="2" s="1"/>
  <c r="I257" i="2"/>
  <c r="J257" i="2" s="1"/>
  <c r="K257" i="2" s="1"/>
  <c r="I127" i="2"/>
  <c r="J127" i="2" s="1"/>
  <c r="K127" i="2" s="1"/>
  <c r="I299" i="2"/>
  <c r="J299" i="2" s="1"/>
  <c r="K299" i="2" s="1"/>
  <c r="I202" i="2"/>
  <c r="J202" i="2" s="1"/>
  <c r="K202" i="2" s="1"/>
  <c r="I463" i="2"/>
  <c r="J463" i="2" s="1"/>
  <c r="K463" i="2" s="1"/>
  <c r="I94" i="2"/>
  <c r="J94" i="2" s="1"/>
  <c r="K94" i="2" s="1"/>
  <c r="I468" i="2"/>
  <c r="J468" i="2" s="1"/>
  <c r="K468" i="2" s="1"/>
  <c r="I193" i="2"/>
  <c r="J193" i="2" s="1"/>
  <c r="K193" i="2" s="1"/>
  <c r="I412" i="2"/>
  <c r="J412" i="2" s="1"/>
  <c r="K412" i="2" s="1"/>
  <c r="I30" i="2"/>
  <c r="J30" i="2" s="1"/>
  <c r="K30" i="2" s="1"/>
  <c r="I386" i="2"/>
  <c r="J386" i="2" s="1"/>
  <c r="K386" i="2" s="1"/>
  <c r="I239" i="2"/>
  <c r="J239" i="2" s="1"/>
  <c r="K239" i="2" s="1"/>
  <c r="I32" i="2"/>
  <c r="J32" i="2" s="1"/>
  <c r="K32" i="2" s="1"/>
  <c r="I275" i="2"/>
  <c r="J275" i="2" s="1"/>
  <c r="K275" i="2" s="1"/>
  <c r="I488" i="2"/>
  <c r="J488" i="2" s="1"/>
  <c r="K488" i="2" s="1"/>
  <c r="I170" i="2"/>
  <c r="J170" i="2" s="1"/>
  <c r="K170" i="2" s="1"/>
  <c r="I307" i="2"/>
  <c r="J307" i="2" s="1"/>
  <c r="K307" i="2" s="1"/>
  <c r="I427" i="2"/>
  <c r="J427" i="2" s="1"/>
  <c r="K427" i="2" s="1"/>
  <c r="I207" i="2"/>
  <c r="I121" i="2"/>
  <c r="J121" i="2" s="1"/>
  <c r="K121" i="2" s="1"/>
  <c r="I97" i="2"/>
  <c r="J97" i="2" s="1"/>
  <c r="K97" i="2" s="1"/>
  <c r="I25" i="2"/>
  <c r="J25" i="2" s="1"/>
  <c r="K25" i="2" s="1"/>
  <c r="I83" i="2"/>
  <c r="J83" i="2" s="1"/>
  <c r="K83" i="2" s="1"/>
  <c r="I179" i="2"/>
  <c r="J179" i="2" s="1"/>
  <c r="K179" i="2" s="1"/>
  <c r="I371" i="2"/>
  <c r="J371" i="2" s="1"/>
  <c r="K371" i="2" s="1"/>
  <c r="I236" i="2"/>
  <c r="J236" i="2" s="1"/>
  <c r="K236" i="2" s="1"/>
  <c r="I226" i="2"/>
  <c r="J226" i="2" s="1"/>
  <c r="K226" i="2" s="1"/>
  <c r="I16" i="2"/>
  <c r="J16" i="2" s="1"/>
  <c r="K16" i="2" s="1"/>
  <c r="I20" i="2"/>
  <c r="J20" i="2" s="1"/>
  <c r="K20" i="2" s="1"/>
  <c r="I181" i="2"/>
  <c r="J181" i="2" s="1"/>
  <c r="K181" i="2" s="1"/>
  <c r="I499" i="2"/>
  <c r="J499" i="2" s="1"/>
  <c r="K499" i="2" s="1"/>
  <c r="I416" i="2"/>
  <c r="J416" i="2" s="1"/>
  <c r="K416" i="2" s="1"/>
  <c r="I112" i="2"/>
  <c r="J112" i="2" s="1"/>
  <c r="K112" i="2" s="1"/>
  <c r="I48" i="2"/>
  <c r="J48" i="2" s="1"/>
  <c r="K48" i="2" s="1"/>
  <c r="I445" i="2"/>
  <c r="J445" i="2" s="1"/>
  <c r="K445" i="2" s="1"/>
  <c r="I185" i="2"/>
  <c r="J185" i="2" s="1"/>
  <c r="K185" i="2" s="1"/>
  <c r="I33" i="2"/>
  <c r="J33" i="2" s="1"/>
  <c r="K33" i="2" s="1"/>
  <c r="I319" i="2"/>
  <c r="J319" i="2" s="1"/>
  <c r="K319" i="2" s="1"/>
  <c r="I43" i="2"/>
  <c r="J43" i="2" s="1"/>
  <c r="K43" i="2" s="1"/>
  <c r="I68" i="2"/>
  <c r="J68" i="2" s="1"/>
  <c r="K68" i="2" s="1"/>
  <c r="I124" i="2"/>
  <c r="J124" i="2" s="1"/>
  <c r="K124" i="2" s="1"/>
  <c r="I422" i="2"/>
  <c r="J422" i="2" s="1"/>
  <c r="K422" i="2" s="1"/>
  <c r="I316" i="2"/>
  <c r="J316" i="2" s="1"/>
  <c r="K316" i="2" s="1"/>
  <c r="I165" i="2"/>
  <c r="J165" i="2" s="1"/>
  <c r="K165" i="2" s="1"/>
  <c r="I56" i="2"/>
  <c r="J56" i="2" s="1"/>
  <c r="K56" i="2" s="1"/>
  <c r="I74" i="2"/>
  <c r="J74" i="2" s="1"/>
  <c r="K74" i="2" s="1"/>
  <c r="I116" i="2"/>
  <c r="J116" i="2" s="1"/>
  <c r="K116" i="2" s="1"/>
  <c r="I60" i="2"/>
  <c r="J60" i="2" s="1"/>
  <c r="K60" i="2" s="1"/>
  <c r="I284" i="2"/>
  <c r="J284" i="2" s="1"/>
  <c r="K284" i="2" s="1"/>
  <c r="I263" i="2"/>
  <c r="J263" i="2" s="1"/>
  <c r="K263" i="2" s="1"/>
  <c r="I247" i="2"/>
  <c r="J247" i="2" s="1"/>
  <c r="K247" i="2" s="1"/>
  <c r="I370" i="2"/>
  <c r="J370" i="2" s="1"/>
  <c r="K370" i="2" s="1"/>
  <c r="I331" i="2"/>
  <c r="J331" i="2" s="1"/>
  <c r="K331" i="2" s="1"/>
  <c r="I497" i="2"/>
  <c r="J497" i="2" s="1"/>
  <c r="K497" i="2" s="1"/>
  <c r="I12" i="2"/>
  <c r="J12" i="2" s="1"/>
  <c r="K12" i="2" s="1"/>
  <c r="I217" i="2"/>
  <c r="J217" i="2" s="1"/>
  <c r="K217" i="2" s="1"/>
  <c r="I449" i="2"/>
  <c r="J449" i="2" s="1"/>
  <c r="K449" i="2" s="1"/>
  <c r="I126" i="2"/>
  <c r="J126" i="2" s="1"/>
  <c r="K126" i="2" s="1"/>
  <c r="I376" i="2"/>
  <c r="J376" i="2" s="1"/>
  <c r="K376" i="2" s="1"/>
  <c r="I59" i="2"/>
  <c r="J59" i="2" s="1"/>
  <c r="K59" i="2" s="1"/>
  <c r="I167" i="2"/>
  <c r="J167" i="2" s="1"/>
  <c r="K167" i="2" s="1"/>
  <c r="I132" i="2"/>
  <c r="J132" i="2" s="1"/>
  <c r="K132" i="2" s="1"/>
  <c r="I329" i="2"/>
  <c r="J329" i="2" s="1"/>
  <c r="K329" i="2" s="1"/>
  <c r="I361" i="2"/>
  <c r="J361" i="2" s="1"/>
  <c r="K361" i="2" s="1"/>
  <c r="I437" i="2"/>
  <c r="J437" i="2" s="1"/>
  <c r="K437" i="2" s="1"/>
  <c r="I111" i="2"/>
  <c r="J111" i="2" s="1"/>
  <c r="K111" i="2" s="1"/>
  <c r="I15" i="2"/>
  <c r="I352" i="2"/>
  <c r="J352" i="2" s="1"/>
  <c r="K352" i="2" s="1"/>
  <c r="I458" i="2"/>
  <c r="J458" i="2" s="1"/>
  <c r="K458" i="2" s="1"/>
  <c r="I70" i="2"/>
  <c r="J70" i="2" s="1"/>
  <c r="K70" i="2" s="1"/>
  <c r="I318" i="2"/>
  <c r="J318" i="2" s="1"/>
  <c r="K318" i="2" s="1"/>
  <c r="I211" i="2"/>
  <c r="J211" i="2" s="1"/>
  <c r="K211" i="2" s="1"/>
  <c r="I51" i="2"/>
  <c r="J51" i="2" s="1"/>
  <c r="K51" i="2" s="1"/>
  <c r="I418" i="2"/>
  <c r="J418" i="2" s="1"/>
  <c r="K418" i="2" s="1"/>
  <c r="I431" i="2"/>
  <c r="J431" i="2" s="1"/>
  <c r="K431" i="2" s="1"/>
  <c r="I23" i="2"/>
  <c r="J23" i="2" s="1"/>
  <c r="K23" i="2" s="1"/>
  <c r="I53" i="2"/>
  <c r="J53" i="2" s="1"/>
  <c r="K53" i="2" s="1"/>
  <c r="I492" i="2"/>
  <c r="J492" i="2" s="1"/>
  <c r="K492" i="2" s="1"/>
  <c r="I54" i="2"/>
  <c r="J54" i="2" s="1"/>
  <c r="K54" i="2" s="1"/>
  <c r="I61" i="2"/>
  <c r="J61" i="2" s="1"/>
  <c r="K61" i="2" s="1"/>
  <c r="I26" i="2"/>
  <c r="J26" i="2" s="1"/>
  <c r="K26" i="2" s="1"/>
  <c r="I374" i="2"/>
  <c r="J374" i="2" s="1"/>
  <c r="K374" i="2" s="1"/>
  <c r="I163" i="2"/>
  <c r="J163" i="2" s="1"/>
  <c r="K163" i="2" s="1"/>
  <c r="I141" i="2"/>
  <c r="J141" i="2" s="1"/>
  <c r="K141" i="2" s="1"/>
  <c r="I34" i="2"/>
  <c r="J34" i="2" s="1"/>
  <c r="K34" i="2" s="1"/>
  <c r="I213" i="2"/>
  <c r="J213" i="2" s="1"/>
  <c r="K213" i="2" s="1"/>
  <c r="I110" i="2"/>
  <c r="J110" i="2" s="1"/>
  <c r="K110" i="2" s="1"/>
  <c r="I122" i="2"/>
  <c r="J122" i="2" s="1"/>
  <c r="K122" i="2" s="1"/>
  <c r="I425" i="2"/>
  <c r="J425" i="2" s="1"/>
  <c r="K425" i="2" s="1"/>
  <c r="I155" i="2"/>
  <c r="J155" i="2" s="1"/>
  <c r="K155" i="2" s="1"/>
  <c r="I99" i="2"/>
  <c r="I58" i="2"/>
  <c r="J58" i="2" s="1"/>
  <c r="K58" i="2" s="1"/>
  <c r="I169" i="2"/>
  <c r="J169" i="2" s="1"/>
  <c r="K169" i="2" s="1"/>
  <c r="I14" i="2"/>
  <c r="J14" i="2" s="1"/>
  <c r="K14" i="2" s="1"/>
  <c r="I453" i="2"/>
  <c r="J453" i="2" s="1"/>
  <c r="K453" i="2" s="1"/>
  <c r="I145" i="2"/>
  <c r="J145" i="2" s="1"/>
  <c r="K145" i="2" s="1"/>
  <c r="I369" i="2"/>
  <c r="J369" i="2" s="1"/>
  <c r="K369" i="2" s="1"/>
  <c r="I104" i="2"/>
  <c r="J104" i="2" s="1"/>
  <c r="K104" i="2" s="1"/>
  <c r="I35" i="2"/>
  <c r="J35" i="2" s="1"/>
  <c r="K35" i="2" s="1"/>
  <c r="I219" i="2"/>
  <c r="I153" i="2"/>
  <c r="J153" i="2" s="1"/>
  <c r="K153" i="2" s="1"/>
  <c r="I311" i="2"/>
  <c r="J311" i="2" s="1"/>
  <c r="K311" i="2" s="1"/>
  <c r="I135" i="2"/>
  <c r="I440" i="2"/>
  <c r="J440" i="2" s="1"/>
  <c r="K440" i="2" s="1"/>
  <c r="I250" i="2"/>
  <c r="J250" i="2" s="1"/>
  <c r="K250" i="2" s="1"/>
  <c r="I36" i="2"/>
  <c r="J36" i="2" s="1"/>
  <c r="K36" i="2" s="1"/>
  <c r="I402" i="2"/>
  <c r="J402" i="2" s="1"/>
  <c r="K402" i="2" s="1"/>
  <c r="I491" i="2"/>
  <c r="J491" i="2" s="1"/>
  <c r="K491" i="2" s="1"/>
  <c r="I360" i="2"/>
  <c r="J360" i="2" s="1"/>
  <c r="K360" i="2" s="1"/>
  <c r="I190" i="2"/>
  <c r="J190" i="2" s="1"/>
  <c r="K190" i="2" s="1"/>
  <c r="I47" i="2"/>
  <c r="J47" i="2" s="1"/>
  <c r="K47" i="2" s="1"/>
  <c r="I183" i="2"/>
  <c r="I102" i="2"/>
  <c r="J102" i="2" s="1"/>
  <c r="K102" i="2" s="1"/>
  <c r="I451" i="2"/>
  <c r="J451" i="2" s="1"/>
  <c r="K451" i="2" s="1"/>
  <c r="I171" i="2"/>
  <c r="I260" i="2"/>
  <c r="J260" i="2" s="1"/>
  <c r="K260" i="2" s="1"/>
  <c r="I288" i="2"/>
  <c r="J288" i="2" s="1"/>
  <c r="K288" i="2" s="1"/>
  <c r="I222" i="2"/>
  <c r="J222" i="2" s="1"/>
  <c r="K222" i="2" s="1"/>
  <c r="I212" i="2"/>
  <c r="J212" i="2" s="1"/>
  <c r="K212" i="2" s="1"/>
  <c r="I82" i="2"/>
  <c r="J82" i="2" s="1"/>
  <c r="K82" i="2" s="1"/>
  <c r="I286" i="2"/>
  <c r="J286" i="2" s="1"/>
  <c r="K286" i="2" s="1"/>
  <c r="I7" i="2"/>
  <c r="J7" i="2" s="1"/>
  <c r="K7" i="2" s="1"/>
  <c r="I133" i="2"/>
  <c r="J133" i="2" s="1"/>
  <c r="K133" i="2" s="1"/>
  <c r="I162" i="2"/>
  <c r="J162" i="2" s="1"/>
  <c r="K162" i="2" s="1"/>
  <c r="I297" i="2"/>
  <c r="J297" i="2" s="1"/>
  <c r="K297" i="2" s="1"/>
  <c r="I80" i="2"/>
  <c r="J80" i="2" s="1"/>
  <c r="K80" i="2" s="1"/>
  <c r="I244" i="2"/>
  <c r="J244" i="2" s="1"/>
  <c r="K244" i="2" s="1"/>
  <c r="I430" i="2"/>
  <c r="J430" i="2" s="1"/>
  <c r="K430" i="2" s="1"/>
  <c r="I129" i="2"/>
  <c r="J129" i="2" s="1"/>
  <c r="K129" i="2" s="1"/>
  <c r="I208" i="2"/>
  <c r="J208" i="2" s="1"/>
  <c r="K208" i="2" s="1"/>
  <c r="I399" i="2"/>
  <c r="I55" i="2"/>
  <c r="J55" i="2" s="1"/>
  <c r="K55" i="2" s="1"/>
  <c r="I342" i="2"/>
  <c r="J342" i="2" s="1"/>
  <c r="K342" i="2" s="1"/>
  <c r="I134" i="2"/>
  <c r="J134" i="2" s="1"/>
  <c r="K134" i="2" s="1"/>
  <c r="I340" i="2"/>
  <c r="J340" i="2" s="1"/>
  <c r="K340" i="2" s="1"/>
  <c r="I459" i="2"/>
  <c r="I350" i="2"/>
  <c r="J350" i="2" s="1"/>
  <c r="K350" i="2" s="1"/>
  <c r="I337" i="2"/>
  <c r="J337" i="2" s="1"/>
  <c r="K337" i="2" s="1"/>
  <c r="I348" i="2"/>
  <c r="J348" i="2" s="1"/>
  <c r="K348" i="2" s="1"/>
  <c r="I241" i="2"/>
  <c r="J241" i="2" s="1"/>
  <c r="K241" i="2" s="1"/>
  <c r="I344" i="2"/>
  <c r="J344" i="2" s="1"/>
  <c r="K344" i="2" s="1"/>
  <c r="I88" i="2"/>
  <c r="J88" i="2" s="1"/>
  <c r="K88" i="2" s="1"/>
  <c r="I470" i="2"/>
  <c r="J470" i="2" s="1"/>
  <c r="K470" i="2" s="1"/>
  <c r="I151" i="2"/>
  <c r="J151" i="2" s="1"/>
  <c r="K151" i="2" s="1"/>
  <c r="I37" i="2"/>
  <c r="J37" i="2" s="1"/>
  <c r="K37" i="2" s="1"/>
  <c r="I45" i="2"/>
  <c r="J45" i="2" s="1"/>
  <c r="K45" i="2" s="1"/>
  <c r="I39" i="2"/>
  <c r="I359" i="2"/>
  <c r="J359" i="2" s="1"/>
  <c r="K359" i="2" s="1"/>
  <c r="I106" i="2"/>
  <c r="J106" i="2" s="1"/>
  <c r="K106" i="2" s="1"/>
  <c r="I413" i="2"/>
  <c r="J413" i="2" s="1"/>
  <c r="K413" i="2" s="1"/>
  <c r="I389" i="2"/>
  <c r="J389" i="2" s="1"/>
  <c r="K389" i="2" s="1"/>
  <c r="I243" i="2"/>
  <c r="I349" i="2"/>
  <c r="J349" i="2" s="1"/>
  <c r="K349" i="2" s="1"/>
  <c r="I256" i="2"/>
  <c r="J256" i="2" s="1"/>
  <c r="K256" i="2" s="1"/>
  <c r="I119" i="2"/>
  <c r="J119" i="2" s="1"/>
  <c r="K119" i="2" s="1"/>
  <c r="I173" i="2"/>
  <c r="J173" i="2" s="1"/>
  <c r="K173" i="2" s="1"/>
  <c r="I486" i="2"/>
  <c r="J486" i="2" s="1"/>
  <c r="K486" i="2" s="1"/>
  <c r="I462" i="2"/>
  <c r="J462" i="2" s="1"/>
  <c r="K462" i="2" s="1"/>
  <c r="I259" i="2"/>
  <c r="J259" i="2" s="1"/>
  <c r="K259" i="2" s="1"/>
  <c r="I42" i="2"/>
  <c r="J42" i="2" s="1"/>
  <c r="K42" i="2" s="1"/>
  <c r="I28" i="2"/>
  <c r="J28" i="2" s="1"/>
  <c r="K28" i="2" s="1"/>
  <c r="I347" i="2"/>
  <c r="J347" i="2" s="1"/>
  <c r="K347" i="2" s="1"/>
  <c r="I365" i="2"/>
  <c r="J365" i="2" s="1"/>
  <c r="K365" i="2" s="1"/>
  <c r="I428" i="2"/>
  <c r="J428" i="2" s="1"/>
  <c r="K428" i="2" s="1"/>
  <c r="I475" i="2"/>
  <c r="J475" i="2" s="1"/>
  <c r="K475" i="2" s="1"/>
  <c r="I118" i="2"/>
  <c r="J118" i="2" s="1"/>
  <c r="K118" i="2" s="1"/>
  <c r="I130" i="2"/>
  <c r="J130" i="2" s="1"/>
  <c r="K130" i="2" s="1"/>
  <c r="I206" i="2"/>
  <c r="J206" i="2" s="1"/>
  <c r="K206" i="2" s="1"/>
  <c r="I149" i="2"/>
  <c r="J149" i="2" s="1"/>
  <c r="K149" i="2" s="1"/>
  <c r="I482" i="2"/>
  <c r="J482" i="2" s="1"/>
  <c r="K482" i="2" s="1"/>
  <c r="I477" i="2"/>
  <c r="J477" i="2" s="1"/>
  <c r="K477" i="2" s="1"/>
  <c r="I161" i="2"/>
  <c r="J161" i="2" s="1"/>
  <c r="K161" i="2" s="1"/>
  <c r="I24" i="2"/>
  <c r="J24" i="2" s="1"/>
  <c r="K24" i="2" s="1"/>
  <c r="I388" i="2"/>
  <c r="J388" i="2" s="1"/>
  <c r="K388" i="2" s="1"/>
  <c r="I405" i="2"/>
  <c r="J405" i="2" s="1"/>
  <c r="K405" i="2" s="1"/>
  <c r="I188" i="2"/>
  <c r="J188" i="2" s="1"/>
  <c r="K188" i="2" s="1"/>
  <c r="I235" i="2"/>
  <c r="J235" i="2" s="1"/>
  <c r="K235" i="2" s="1"/>
  <c r="I460" i="2"/>
  <c r="J460" i="2" s="1"/>
  <c r="K460" i="2" s="1"/>
  <c r="I467" i="2"/>
  <c r="J467" i="2" s="1"/>
  <c r="K467" i="2" s="1"/>
  <c r="I174" i="2"/>
  <c r="J174" i="2" s="1"/>
  <c r="K174" i="2" s="1"/>
  <c r="I255" i="2"/>
  <c r="J255" i="2" s="1"/>
  <c r="K255" i="2" s="1"/>
  <c r="I408" i="2"/>
  <c r="J408" i="2" s="1"/>
  <c r="K408" i="2" s="1"/>
  <c r="I362" i="2"/>
  <c r="J362" i="2" s="1"/>
  <c r="K362" i="2" s="1"/>
  <c r="I375" i="2"/>
  <c r="I456" i="2"/>
  <c r="J456" i="2" s="1"/>
  <c r="K456" i="2" s="1"/>
  <c r="I227" i="2"/>
  <c r="J227" i="2" s="1"/>
  <c r="K227" i="2" s="1"/>
  <c r="I3" i="2"/>
  <c r="I287" i="2"/>
  <c r="J287" i="2" s="1"/>
  <c r="K287" i="2" s="1"/>
  <c r="I387" i="2"/>
  <c r="I450" i="2"/>
  <c r="J450" i="2" s="1"/>
  <c r="K450" i="2" s="1"/>
  <c r="I354" i="2"/>
  <c r="J354" i="2" s="1"/>
  <c r="K354" i="2" s="1"/>
  <c r="I267" i="2"/>
  <c r="J267" i="2" s="1"/>
  <c r="K267" i="2" s="1"/>
  <c r="I168" i="2"/>
  <c r="J168" i="2" s="1"/>
  <c r="K168" i="2" s="1"/>
  <c r="I483" i="2"/>
  <c r="I142" i="2"/>
  <c r="J142" i="2" s="1"/>
  <c r="K142" i="2" s="1"/>
  <c r="I292" i="2"/>
  <c r="J292" i="2" s="1"/>
  <c r="K292" i="2" s="1"/>
  <c r="I321" i="2"/>
  <c r="J321" i="2" s="1"/>
  <c r="K321" i="2" s="1"/>
  <c r="I490" i="2"/>
  <c r="J490" i="2" s="1"/>
  <c r="K490" i="2" s="1"/>
  <c r="I205" i="2"/>
  <c r="J205" i="2" s="1"/>
  <c r="K205" i="2" s="1"/>
  <c r="I160" i="2"/>
  <c r="J160" i="2" s="1"/>
  <c r="K160" i="2" s="1"/>
  <c r="I432" i="2"/>
  <c r="J432" i="2" s="1"/>
  <c r="K432" i="2" s="1"/>
  <c r="I85" i="2"/>
  <c r="J85" i="2" s="1"/>
  <c r="K85" i="2" s="1"/>
  <c r="I489" i="2"/>
  <c r="J489" i="2" s="1"/>
  <c r="K489" i="2" s="1"/>
  <c r="I273" i="2"/>
  <c r="J273" i="2" s="1"/>
  <c r="K273" i="2" s="1"/>
  <c r="I265" i="2"/>
  <c r="J265" i="2" s="1"/>
  <c r="K265" i="2" s="1"/>
  <c r="I198" i="2"/>
  <c r="J198" i="2" s="1"/>
  <c r="K198" i="2" s="1"/>
  <c r="I199" i="2"/>
  <c r="J199" i="2" s="1"/>
  <c r="K199" i="2" s="1"/>
  <c r="I443" i="2"/>
  <c r="J443" i="2" s="1"/>
  <c r="K443" i="2" s="1"/>
  <c r="I156" i="2"/>
  <c r="J156" i="2" s="1"/>
  <c r="K156" i="2" s="1"/>
  <c r="I96" i="2"/>
  <c r="J96" i="2" s="1"/>
  <c r="K96" i="2" s="1"/>
  <c r="I204" i="2"/>
  <c r="J204" i="2" s="1"/>
  <c r="K204" i="2" s="1"/>
  <c r="I4" i="2"/>
  <c r="J4" i="2" s="1"/>
  <c r="K4" i="2" s="1"/>
  <c r="I44" i="2"/>
  <c r="J44" i="2" s="1"/>
  <c r="K44" i="2" s="1"/>
  <c r="I328" i="2"/>
  <c r="J328" i="2" s="1"/>
  <c r="K328" i="2" s="1"/>
  <c r="I269" i="2"/>
  <c r="J269" i="2" s="1"/>
  <c r="K269" i="2" s="1"/>
  <c r="I189" i="2"/>
  <c r="J189" i="2" s="1"/>
  <c r="K189" i="2" s="1"/>
  <c r="I146" i="2"/>
  <c r="J146" i="2" s="1"/>
  <c r="K146" i="2" s="1"/>
  <c r="I409" i="2"/>
  <c r="J409" i="2" s="1"/>
  <c r="K409" i="2" s="1"/>
  <c r="I266" i="2"/>
  <c r="J266" i="2" s="1"/>
  <c r="K266" i="2" s="1"/>
  <c r="I252" i="2"/>
  <c r="J252" i="2" s="1"/>
  <c r="K252" i="2" s="1"/>
  <c r="I415" i="2"/>
  <c r="J415" i="2" s="1"/>
  <c r="K415" i="2" s="1"/>
  <c r="I442" i="2"/>
  <c r="J442" i="2" s="1"/>
  <c r="K442" i="2" s="1"/>
  <c r="I317" i="2"/>
  <c r="J317" i="2" s="1"/>
  <c r="K317" i="2" s="1"/>
  <c r="I351" i="2"/>
  <c r="I271" i="2"/>
  <c r="J271" i="2" s="1"/>
  <c r="K271" i="2" s="1"/>
  <c r="I261" i="2"/>
  <c r="J261" i="2" s="1"/>
  <c r="K261" i="2" s="1"/>
  <c r="I152" i="2"/>
  <c r="J152" i="2" s="1"/>
  <c r="K152" i="2" s="1"/>
  <c r="I364" i="2"/>
  <c r="J364" i="2" s="1"/>
  <c r="K364" i="2" s="1"/>
  <c r="I313" i="2"/>
  <c r="J313" i="2" s="1"/>
  <c r="K313" i="2" s="1"/>
  <c r="I338" i="2"/>
  <c r="J338" i="2" s="1"/>
  <c r="K338" i="2" s="1"/>
  <c r="I496" i="2"/>
  <c r="J496" i="2" s="1"/>
  <c r="K496" i="2" s="1"/>
  <c r="I426" i="2"/>
  <c r="J426" i="2" s="1"/>
  <c r="K426" i="2" s="1"/>
  <c r="I176" i="2"/>
  <c r="J176" i="2" s="1"/>
  <c r="K176" i="2" s="1"/>
  <c r="I372" i="2"/>
  <c r="J372" i="2" s="1"/>
  <c r="K372" i="2" s="1"/>
  <c r="I200" i="2"/>
  <c r="J200" i="2" s="1"/>
  <c r="K200" i="2" s="1"/>
  <c r="I249" i="2"/>
  <c r="J249" i="2" s="1"/>
  <c r="K249" i="2" s="1"/>
  <c r="I233" i="2"/>
  <c r="J233" i="2" s="1"/>
  <c r="K233" i="2" s="1"/>
  <c r="I79" i="2"/>
  <c r="J79" i="2" s="1"/>
  <c r="K79" i="2" s="1"/>
  <c r="I136" i="2"/>
  <c r="J136" i="2" s="1"/>
  <c r="K136" i="2" s="1"/>
  <c r="I245" i="2"/>
  <c r="J245" i="2" s="1"/>
  <c r="K245" i="2" s="1"/>
  <c r="I366" i="2"/>
  <c r="J366" i="2" s="1"/>
  <c r="K366" i="2" s="1"/>
  <c r="I332" i="2"/>
  <c r="J332" i="2" s="1"/>
  <c r="K332" i="2" s="1"/>
  <c r="I394" i="2"/>
  <c r="J394" i="2" s="1"/>
  <c r="K394" i="2" s="1"/>
  <c r="I224" i="2"/>
  <c r="J224" i="2" s="1"/>
  <c r="K224" i="2" s="1"/>
  <c r="I435" i="2"/>
  <c r="I57" i="2"/>
  <c r="J57" i="2" s="1"/>
  <c r="K57" i="2" s="1"/>
  <c r="I69" i="2"/>
  <c r="J69" i="2" s="1"/>
  <c r="K69" i="2" s="1"/>
  <c r="I289" i="2"/>
  <c r="J289" i="2" s="1"/>
  <c r="K289" i="2" s="1"/>
  <c r="I487" i="2"/>
  <c r="J487" i="2" s="1"/>
  <c r="K487" i="2" s="1"/>
  <c r="I182" i="2"/>
  <c r="J182" i="2" s="1"/>
  <c r="K182" i="2" s="1"/>
  <c r="I73" i="2"/>
  <c r="J73" i="2" s="1"/>
  <c r="K73" i="2" s="1"/>
  <c r="I234" i="2"/>
  <c r="J234" i="2" s="1"/>
  <c r="K234" i="2" s="1"/>
  <c r="I191" i="2"/>
  <c r="J191" i="2" s="1"/>
  <c r="K191" i="2" s="1"/>
  <c r="I276" i="2"/>
  <c r="J276" i="2" s="1"/>
  <c r="K276" i="2" s="1"/>
  <c r="I87" i="2"/>
  <c r="I298" i="2"/>
  <c r="J298" i="2" s="1"/>
  <c r="K298" i="2" s="1"/>
  <c r="I478" i="2"/>
  <c r="J478" i="2" s="1"/>
  <c r="K478" i="2" s="1"/>
  <c r="I221" i="2"/>
  <c r="J221" i="2" s="1"/>
  <c r="K221" i="2" s="1"/>
  <c r="I113" i="2"/>
  <c r="J113" i="2" s="1"/>
  <c r="K113" i="2" s="1"/>
  <c r="I228" i="2"/>
  <c r="J228" i="2" s="1"/>
  <c r="K228" i="2" s="1"/>
  <c r="I19" i="2"/>
  <c r="J19" i="2" s="1"/>
  <c r="K19" i="2" s="1"/>
  <c r="I230" i="2"/>
  <c r="J230" i="2" s="1"/>
  <c r="K230" i="2" s="1"/>
  <c r="I357" i="2"/>
  <c r="J357" i="2" s="1"/>
  <c r="K357" i="2" s="1"/>
  <c r="I137" i="2"/>
  <c r="J137" i="2" s="1"/>
  <c r="K137" i="2" s="1"/>
  <c r="I439" i="2"/>
  <c r="J439" i="2" s="1"/>
  <c r="K439" i="2" s="1"/>
  <c r="I498" i="2"/>
  <c r="J498" i="2" s="1"/>
  <c r="K498" i="2" s="1"/>
  <c r="I421" i="2"/>
  <c r="J421" i="2" s="1"/>
  <c r="K421" i="2" s="1"/>
  <c r="I390" i="2"/>
  <c r="J390" i="2" s="1"/>
  <c r="K390" i="2" s="1"/>
  <c r="I404" i="2"/>
  <c r="J404" i="2" s="1"/>
  <c r="K404" i="2" s="1"/>
  <c r="I368" i="2"/>
  <c r="J368" i="2" s="1"/>
  <c r="K368" i="2" s="1"/>
  <c r="I18" i="2"/>
  <c r="J18" i="2" s="1"/>
  <c r="K18" i="2" s="1"/>
  <c r="I95" i="2"/>
  <c r="J95" i="2" s="1"/>
  <c r="K95" i="2" s="1"/>
  <c r="I414" i="2"/>
  <c r="J414" i="2" s="1"/>
  <c r="K414" i="2" s="1"/>
  <c r="I27" i="2"/>
  <c r="I429" i="2"/>
  <c r="J429" i="2" s="1"/>
  <c r="K429" i="2" s="1"/>
  <c r="I476" i="2"/>
  <c r="J476" i="2" s="1"/>
  <c r="K476" i="2" s="1"/>
  <c r="I446" i="2"/>
  <c r="J446" i="2" s="1"/>
  <c r="K446" i="2" s="1"/>
  <c r="I485" i="2"/>
  <c r="J485" i="2" s="1"/>
  <c r="K485" i="2" s="1"/>
  <c r="I67" i="2"/>
  <c r="J67" i="2" s="1"/>
  <c r="K67" i="2" s="1"/>
  <c r="B4" i="13" l="1"/>
  <c r="J375" i="2"/>
  <c r="K375" i="2" s="1"/>
  <c r="J459" i="2"/>
  <c r="K459" i="2" s="1"/>
  <c r="J183" i="2"/>
  <c r="K183" i="2" s="1"/>
  <c r="J219" i="2"/>
  <c r="K219" i="2" s="1"/>
  <c r="J87" i="2"/>
  <c r="K87" i="2" s="1"/>
  <c r="J39" i="2"/>
  <c r="K39" i="2" s="1"/>
  <c r="J291" i="2"/>
  <c r="K291" i="2" s="1"/>
  <c r="J339" i="2"/>
  <c r="K339" i="2" s="1"/>
  <c r="J483" i="2"/>
  <c r="K483" i="2" s="1"/>
  <c r="J159" i="2"/>
  <c r="K159" i="2" s="1"/>
  <c r="J411" i="2"/>
  <c r="K411" i="2" s="1"/>
  <c r="J27" i="2"/>
  <c r="K27" i="2" s="1"/>
  <c r="J303" i="2"/>
  <c r="K303" i="2" s="1"/>
  <c r="J63" i="2"/>
  <c r="K63" i="2" s="1"/>
  <c r="J243" i="2"/>
  <c r="K243" i="2" s="1"/>
  <c r="J231" i="2"/>
  <c r="K231" i="2" s="1"/>
  <c r="J471" i="2"/>
  <c r="K471" i="2" s="1"/>
  <c r="J399" i="2"/>
  <c r="K399" i="2" s="1"/>
  <c r="J75" i="2"/>
  <c r="K75" i="2" s="1"/>
  <c r="J387" i="2"/>
  <c r="K387" i="2" s="1"/>
  <c r="J123" i="2"/>
  <c r="K123" i="2" s="1"/>
  <c r="J351" i="2"/>
  <c r="K351" i="2" s="1"/>
  <c r="J3" i="2"/>
  <c r="K3" i="2" s="1"/>
  <c r="J171" i="2"/>
  <c r="K171" i="2" s="1"/>
  <c r="J135" i="2"/>
  <c r="K135" i="2" s="1"/>
  <c r="J99" i="2"/>
  <c r="K99" i="2" s="1"/>
  <c r="J15" i="2"/>
  <c r="K15" i="2" s="1"/>
  <c r="J207" i="2"/>
  <c r="K207" i="2" s="1"/>
  <c r="J447" i="2"/>
  <c r="K447" i="2" s="1"/>
  <c r="J315" i="2"/>
  <c r="K315" i="2" s="1"/>
  <c r="J147" i="2"/>
  <c r="K147" i="2" s="1"/>
  <c r="J495" i="2"/>
  <c r="K495" i="2" s="1"/>
  <c r="J435" i="2"/>
  <c r="K435" i="2" s="1"/>
  <c r="J327" i="2"/>
  <c r="K327" i="2" s="1"/>
  <c r="B6" i="13" l="1"/>
  <c r="B5" i="13"/>
</calcChain>
</file>

<file path=xl/sharedStrings.xml><?xml version="1.0" encoding="utf-8"?>
<sst xmlns="http://schemas.openxmlformats.org/spreadsheetml/2006/main" count="4631" uniqueCount="568">
  <si>
    <t>Order ID</t>
  </si>
  <si>
    <t>Customer Name</t>
  </si>
  <si>
    <t>Food Item</t>
  </si>
  <si>
    <t>Category</t>
  </si>
  <si>
    <t>Quantity</t>
  </si>
  <si>
    <t>Price</t>
  </si>
  <si>
    <t>Payment Method</t>
  </si>
  <si>
    <t>Order Time</t>
  </si>
  <si>
    <t>Mary Vega DDS</t>
  </si>
  <si>
    <t>Pasta</t>
  </si>
  <si>
    <t>Main</t>
  </si>
  <si>
    <t>Cash</t>
  </si>
  <si>
    <t>Brandon Myers</t>
  </si>
  <si>
    <t>Brownie</t>
  </si>
  <si>
    <t>Dessert</t>
  </si>
  <si>
    <t>Debit Card</t>
  </si>
  <si>
    <t>Margaret Wells</t>
  </si>
  <si>
    <t>Credit Card</t>
  </si>
  <si>
    <t>Michael Matthews</t>
  </si>
  <si>
    <t>Online Payment</t>
  </si>
  <si>
    <t>Connor Williams</t>
  </si>
  <si>
    <t>Soup</t>
  </si>
  <si>
    <t>Starter</t>
  </si>
  <si>
    <t>Matthew Miles</t>
  </si>
  <si>
    <t>Catherine Thompson</t>
  </si>
  <si>
    <t>Nathan Holland</t>
  </si>
  <si>
    <t>Anthony Sherman</t>
  </si>
  <si>
    <t>Carolyn Roberts</t>
  </si>
  <si>
    <t>Cake</t>
  </si>
  <si>
    <t>Johnny Dennis</t>
  </si>
  <si>
    <t>Burger</t>
  </si>
  <si>
    <t>Michael Barton</t>
  </si>
  <si>
    <t>Heidi Boyle</t>
  </si>
  <si>
    <t>Ice Cream</t>
  </si>
  <si>
    <t>George Smith</t>
  </si>
  <si>
    <t>Fries</t>
  </si>
  <si>
    <t>Thomas Frazier</t>
  </si>
  <si>
    <t>Pizza</t>
  </si>
  <si>
    <t>David Bailey</t>
  </si>
  <si>
    <t>Larry Harvey</t>
  </si>
  <si>
    <t>Salad</t>
  </si>
  <si>
    <t>Christina Cochran</t>
  </si>
  <si>
    <t>Aaron Bruce</t>
  </si>
  <si>
    <t>Anna Smith</t>
  </si>
  <si>
    <t>Andrew Hill</t>
  </si>
  <si>
    <t>Angela Sherman</t>
  </si>
  <si>
    <t>Austin Cain</t>
  </si>
  <si>
    <t>Scott Clark</t>
  </si>
  <si>
    <t>Cindy Smith</t>
  </si>
  <si>
    <t>Elizabeth Contreras</t>
  </si>
  <si>
    <t>Robert Simmons</t>
  </si>
  <si>
    <t>Ana Brooks</t>
  </si>
  <si>
    <t>Jason King</t>
  </si>
  <si>
    <t>Andrew Stephens</t>
  </si>
  <si>
    <t>Carol Lynch</t>
  </si>
  <si>
    <t>Amy Ellis</t>
  </si>
  <si>
    <t>Kathleen Miranda</t>
  </si>
  <si>
    <t>Lynn Smith</t>
  </si>
  <si>
    <t>Michelle Rodriguez</t>
  </si>
  <si>
    <t>Emily Mcmillan</t>
  </si>
  <si>
    <t>Gavin Griffin</t>
  </si>
  <si>
    <t>Jennifer Friedman</t>
  </si>
  <si>
    <t>Brittany Hughes</t>
  </si>
  <si>
    <t>Margaret Lopez</t>
  </si>
  <si>
    <t>Lori James</t>
  </si>
  <si>
    <t>Heather Wheeler</t>
  </si>
  <si>
    <t>Susan Glenn</t>
  </si>
  <si>
    <t>Richard Lee</t>
  </si>
  <si>
    <t>Jennifer Barron</t>
  </si>
  <si>
    <t>Lauren Freeman</t>
  </si>
  <si>
    <t>Matthew Perry</t>
  </si>
  <si>
    <t>William Rasmussen</t>
  </si>
  <si>
    <t>Anthony Jennings</t>
  </si>
  <si>
    <t>James Nixon</t>
  </si>
  <si>
    <t>Shannon Young</t>
  </si>
  <si>
    <t>Logan Maddox</t>
  </si>
  <si>
    <t>Christina Donovan</t>
  </si>
  <si>
    <t>Jessica Burke</t>
  </si>
  <si>
    <t>Brandy Lewis</t>
  </si>
  <si>
    <t>Sheri White</t>
  </si>
  <si>
    <t>Amanda Mcfarland</t>
  </si>
  <si>
    <t>James Jones</t>
  </si>
  <si>
    <t>Tamara Winters</t>
  </si>
  <si>
    <t>Jason Phillips</t>
  </si>
  <si>
    <t>Wyatt Jackson</t>
  </si>
  <si>
    <t>Nichole Lopez</t>
  </si>
  <si>
    <t>Eric Garcia</t>
  </si>
  <si>
    <t>Morgan Simmons</t>
  </si>
  <si>
    <t>Jerry Singh</t>
  </si>
  <si>
    <t>Kurt Washington</t>
  </si>
  <si>
    <t>Mary Johnson</t>
  </si>
  <si>
    <t>Cassandra Alexander</t>
  </si>
  <si>
    <t>Brittany Craig</t>
  </si>
  <si>
    <t>Patrick Hanna</t>
  </si>
  <si>
    <t>Wendy Nichols</t>
  </si>
  <si>
    <t>Dakota Hughes</t>
  </si>
  <si>
    <t>Justin Powell</t>
  </si>
  <si>
    <t>Jillian Jackson</t>
  </si>
  <si>
    <t>Shawn Cherry</t>
  </si>
  <si>
    <t>Dillon Church</t>
  </si>
  <si>
    <t>Shannon Morales PhD</t>
  </si>
  <si>
    <t>Christopher Bailey</t>
  </si>
  <si>
    <t>Connie Roberts</t>
  </si>
  <si>
    <t>Aimee White</t>
  </si>
  <si>
    <t>Daniel Fisher</t>
  </si>
  <si>
    <t>Kristin Bennett</t>
  </si>
  <si>
    <t>Catherine Jenkins</t>
  </si>
  <si>
    <t>Michael Miller</t>
  </si>
  <si>
    <t>Denise Murphy</t>
  </si>
  <si>
    <t>Larry Santiago</t>
  </si>
  <si>
    <t>James Barber</t>
  </si>
  <si>
    <t>Gregory Brown</t>
  </si>
  <si>
    <t>Barbara Ray</t>
  </si>
  <si>
    <t>Jordan Guzman</t>
  </si>
  <si>
    <t>Bruce Chambers</t>
  </si>
  <si>
    <t>Dustin Holt</t>
  </si>
  <si>
    <t>Regina Gill</t>
  </si>
  <si>
    <t>Patricia Nunez</t>
  </si>
  <si>
    <t>Elizabeth Farley</t>
  </si>
  <si>
    <t>Antonio Pena</t>
  </si>
  <si>
    <t>Lisa Mora</t>
  </si>
  <si>
    <t>Janet Salazar</t>
  </si>
  <si>
    <t>Brandy Terrell</t>
  </si>
  <si>
    <t>Jason Newman</t>
  </si>
  <si>
    <t>Mrs. Sheila Dean</t>
  </si>
  <si>
    <t>Ricardo Neal</t>
  </si>
  <si>
    <t>Kevin Gonzalez</t>
  </si>
  <si>
    <t>Raymond Cooper</t>
  </si>
  <si>
    <t>Christopher Kramer</t>
  </si>
  <si>
    <t>Antonio Nielsen</t>
  </si>
  <si>
    <t>Alison Smith</t>
  </si>
  <si>
    <t>Jamie Winters</t>
  </si>
  <si>
    <t>Nicole Parrish</t>
  </si>
  <si>
    <t>Diane Perez</t>
  </si>
  <si>
    <t>Melinda Myers</t>
  </si>
  <si>
    <t>Richard Brown</t>
  </si>
  <si>
    <t>Erica Medina</t>
  </si>
  <si>
    <t>Brenda Contreras</t>
  </si>
  <si>
    <t>Joe Barton</t>
  </si>
  <si>
    <t>William Crane</t>
  </si>
  <si>
    <t>Aaron Clark</t>
  </si>
  <si>
    <t>Brandi Houston</t>
  </si>
  <si>
    <t>Monica Richards</t>
  </si>
  <si>
    <t>Dale Salinas</t>
  </si>
  <si>
    <t>Randall Decker</t>
  </si>
  <si>
    <t>Zachary Fisher</t>
  </si>
  <si>
    <t>Curtis Townsend</t>
  </si>
  <si>
    <t>James Martinez</t>
  </si>
  <si>
    <t>Mark Thomas</t>
  </si>
  <si>
    <t>Bobby Horton</t>
  </si>
  <si>
    <t>Matthew Hays</t>
  </si>
  <si>
    <t>Amy Mclean</t>
  </si>
  <si>
    <t>Kristy James</t>
  </si>
  <si>
    <t>Jonathan Turner</t>
  </si>
  <si>
    <t>Mrs. Melissa Schmidt</t>
  </si>
  <si>
    <t>Lisa Andrade</t>
  </si>
  <si>
    <t>Phillip Lucas</t>
  </si>
  <si>
    <t>Nancy Shields</t>
  </si>
  <si>
    <t>Patricia Smith</t>
  </si>
  <si>
    <t>William Williams</t>
  </si>
  <si>
    <t>Stephanie Ortega</t>
  </si>
  <si>
    <t>Amanda Cervantes</t>
  </si>
  <si>
    <t>Sara Garcia</t>
  </si>
  <si>
    <t>Andrea Reynolds</t>
  </si>
  <si>
    <t>Tracey Perez</t>
  </si>
  <si>
    <t>Lisa Jones</t>
  </si>
  <si>
    <t>Justin Howard</t>
  </si>
  <si>
    <t>Benjamin Stark</t>
  </si>
  <si>
    <t>Joshua Walls</t>
  </si>
  <si>
    <t>Jerome Bright</t>
  </si>
  <si>
    <t>Victoria Sims</t>
  </si>
  <si>
    <t>Diana Davis</t>
  </si>
  <si>
    <t>Andrew Suarez</t>
  </si>
  <si>
    <t>Melanie Keller</t>
  </si>
  <si>
    <t>Nicole Barrett</t>
  </si>
  <si>
    <t>Kimberly Gilbert</t>
  </si>
  <si>
    <t>Diane Olson</t>
  </si>
  <si>
    <t>Jessica Jacobs</t>
  </si>
  <si>
    <t>Deanna Glover</t>
  </si>
  <si>
    <t>Steven Larson</t>
  </si>
  <si>
    <t>Mark Winters</t>
  </si>
  <si>
    <t>Nathan Harris</t>
  </si>
  <si>
    <t>David Barrett</t>
  </si>
  <si>
    <t>Bobby Miles</t>
  </si>
  <si>
    <t>Thomas Hernandez</t>
  </si>
  <si>
    <t>Todd Brown</t>
  </si>
  <si>
    <t>Laura Wheeler</t>
  </si>
  <si>
    <t>Melissa Wolfe</t>
  </si>
  <si>
    <t>Victoria Ramirez</t>
  </si>
  <si>
    <t>Hailey Massey</t>
  </si>
  <si>
    <t>Catherine Lucero</t>
  </si>
  <si>
    <t>Daniel Lee</t>
  </si>
  <si>
    <t>Carl Olson</t>
  </si>
  <si>
    <t>Derek Carlson</t>
  </si>
  <si>
    <t>Kenneth Coleman</t>
  </si>
  <si>
    <t>Jessica Williams</t>
  </si>
  <si>
    <t>Don Davis</t>
  </si>
  <si>
    <t>Kelly Huang</t>
  </si>
  <si>
    <t>Robert Mahoney</t>
  </si>
  <si>
    <t>Melissa Diaz</t>
  </si>
  <si>
    <t>Jason Morgan</t>
  </si>
  <si>
    <t>Tiffany Gardner</t>
  </si>
  <si>
    <t>Christina Castro</t>
  </si>
  <si>
    <t>Sherry Rogers</t>
  </si>
  <si>
    <t>Jon Boyd</t>
  </si>
  <si>
    <t>Jeffery Mason</t>
  </si>
  <si>
    <t>Mary Curtis</t>
  </si>
  <si>
    <t>Elizabeth Smith</t>
  </si>
  <si>
    <t>Juan Lucero</t>
  </si>
  <si>
    <t>Karen Hester</t>
  </si>
  <si>
    <t>Michael Smith</t>
  </si>
  <si>
    <t>David Hamilton</t>
  </si>
  <si>
    <t>Matthew Cooper</t>
  </si>
  <si>
    <t>Dr. Brian Byrd</t>
  </si>
  <si>
    <t>Lisa Franklin</t>
  </si>
  <si>
    <t>Laura Archer</t>
  </si>
  <si>
    <t>James Black</t>
  </si>
  <si>
    <t>Jennifer Reed</t>
  </si>
  <si>
    <t>Joseph Butler</t>
  </si>
  <si>
    <t>Charles Evans</t>
  </si>
  <si>
    <t>Bradley Young</t>
  </si>
  <si>
    <t>Brian Wood</t>
  </si>
  <si>
    <t>Preston Flynn</t>
  </si>
  <si>
    <t>Richard Garcia</t>
  </si>
  <si>
    <t>Mark Davis</t>
  </si>
  <si>
    <t>Sandra Good</t>
  </si>
  <si>
    <t>George Mack</t>
  </si>
  <si>
    <t>David Patel</t>
  </si>
  <si>
    <t>Billy Tapia</t>
  </si>
  <si>
    <t>Christopher Chapman</t>
  </si>
  <si>
    <t>Amy Brown</t>
  </si>
  <si>
    <t>James Bradley</t>
  </si>
  <si>
    <t>Teresa Rollins</t>
  </si>
  <si>
    <t>Fernando Burke</t>
  </si>
  <si>
    <t>Elizabeth Blake MD</t>
  </si>
  <si>
    <t>Diana House</t>
  </si>
  <si>
    <t>Julie Johnson</t>
  </si>
  <si>
    <t>Monique Gonzalez</t>
  </si>
  <si>
    <t>Daniel Gomez</t>
  </si>
  <si>
    <t>Kevin Meyer</t>
  </si>
  <si>
    <t>Shawn Gonzalez</t>
  </si>
  <si>
    <t>Tiffany Scott</t>
  </si>
  <si>
    <t>Douglas Bryant</t>
  </si>
  <si>
    <t>Michael Valentine</t>
  </si>
  <si>
    <t>Elizabeth Stanley</t>
  </si>
  <si>
    <t>Nicole Collins</t>
  </si>
  <si>
    <t>Jeffrey Roberts</t>
  </si>
  <si>
    <t>Christopher Rodriguez</t>
  </si>
  <si>
    <t>Alexander Nielsen</t>
  </si>
  <si>
    <t>Luis Welch</t>
  </si>
  <si>
    <t>Steven Gardner</t>
  </si>
  <si>
    <t>Melissa Garcia</t>
  </si>
  <si>
    <t>Margaret Burch</t>
  </si>
  <si>
    <t>Patricia Johnson</t>
  </si>
  <si>
    <t>Dr. Rebekah Davenport</t>
  </si>
  <si>
    <t>Francisco Ramos</t>
  </si>
  <si>
    <t>Anthony Griffin</t>
  </si>
  <si>
    <t>Melissa Ballard</t>
  </si>
  <si>
    <t>Mr. Douglas James MD</t>
  </si>
  <si>
    <t>Mark Campbell</t>
  </si>
  <si>
    <t>Brian Brown</t>
  </si>
  <si>
    <t>Erica Sutton</t>
  </si>
  <si>
    <t>Alyssa Phillips</t>
  </si>
  <si>
    <t>Crystal Landry</t>
  </si>
  <si>
    <t>Janet Clark</t>
  </si>
  <si>
    <t>Jeffrey Ortiz</t>
  </si>
  <si>
    <t>Yvonne Davis</t>
  </si>
  <si>
    <t>Elizabeth Clark</t>
  </si>
  <si>
    <t>James Brown</t>
  </si>
  <si>
    <t>William Blevins</t>
  </si>
  <si>
    <t>James Chase</t>
  </si>
  <si>
    <t>Timothy Thomas</t>
  </si>
  <si>
    <t>Denise Ortega</t>
  </si>
  <si>
    <t>Jamie Phillips</t>
  </si>
  <si>
    <t>Ryan Zavala</t>
  </si>
  <si>
    <t>Corey Roberts</t>
  </si>
  <si>
    <t>Julie Hale</t>
  </si>
  <si>
    <t>Jeanette Hayes</t>
  </si>
  <si>
    <t>Jonathan Smith</t>
  </si>
  <si>
    <t>Ashley Swanson</t>
  </si>
  <si>
    <t>Ronald Floyd</t>
  </si>
  <si>
    <t>Mrs. Amber Hansen</t>
  </si>
  <si>
    <t>Christopher Ruiz</t>
  </si>
  <si>
    <t>Teresa Garcia</t>
  </si>
  <si>
    <t>Kimberly Tyler</t>
  </si>
  <si>
    <t>Malik Rodriguez</t>
  </si>
  <si>
    <t>John Garcia</t>
  </si>
  <si>
    <t>Daniel Jennings</t>
  </si>
  <si>
    <t>Crystal Collier</t>
  </si>
  <si>
    <t>Paul Cook</t>
  </si>
  <si>
    <t>Robert James</t>
  </si>
  <si>
    <t>Martin Estrada</t>
  </si>
  <si>
    <t>Carmen Gonzalez</t>
  </si>
  <si>
    <t>Deborah Morris</t>
  </si>
  <si>
    <t>Kimberly Barnett</t>
  </si>
  <si>
    <t>Diana Fry</t>
  </si>
  <si>
    <t>Jonathan Jones</t>
  </si>
  <si>
    <t>Shane Gallegos MD</t>
  </si>
  <si>
    <t>Amanda Jones</t>
  </si>
  <si>
    <t>Amanda Keller</t>
  </si>
  <si>
    <t>Autumn Robinson</t>
  </si>
  <si>
    <t>Ashley Hull</t>
  </si>
  <si>
    <t>Jose Kane</t>
  </si>
  <si>
    <t>Luis Mccullough</t>
  </si>
  <si>
    <t>Derek Delgado</t>
  </si>
  <si>
    <t>Shannon Mueller</t>
  </si>
  <si>
    <t>Stephen Campbell</t>
  </si>
  <si>
    <t>Anthony Wilson</t>
  </si>
  <si>
    <t>Katelyn Brown</t>
  </si>
  <si>
    <t>Alexander Wallace</t>
  </si>
  <si>
    <t>Sarah Ponce</t>
  </si>
  <si>
    <t>David Gutierrez</t>
  </si>
  <si>
    <t>Ashley Davis</t>
  </si>
  <si>
    <t>Ricky Jacobs</t>
  </si>
  <si>
    <t>Mrs. Kristi Myers</t>
  </si>
  <si>
    <t>Anthony Wells</t>
  </si>
  <si>
    <t>Richard Rodriguez</t>
  </si>
  <si>
    <t>John Mckinney</t>
  </si>
  <si>
    <t>Timothy Miller</t>
  </si>
  <si>
    <t>Gerald Watson</t>
  </si>
  <si>
    <t>Maurice Lyons</t>
  </si>
  <si>
    <t>Tracy Bryant</t>
  </si>
  <si>
    <t>Tabitha Bernard</t>
  </si>
  <si>
    <t>Jean Morris</t>
  </si>
  <si>
    <t>Adam Klein</t>
  </si>
  <si>
    <t>Matthew Lara</t>
  </si>
  <si>
    <t>Christopher Noble</t>
  </si>
  <si>
    <t>Jeanette Ramirez</t>
  </si>
  <si>
    <t>Scott Petty</t>
  </si>
  <si>
    <t>James Thomas</t>
  </si>
  <si>
    <t>Alicia Clark</t>
  </si>
  <si>
    <t>Deborah Green</t>
  </si>
  <si>
    <t>Melissa Curry</t>
  </si>
  <si>
    <t>Danielle Carey</t>
  </si>
  <si>
    <t>Jaime Cook</t>
  </si>
  <si>
    <t>Caleb Little</t>
  </si>
  <si>
    <t>Melinda Levine</t>
  </si>
  <si>
    <t>Andrew Reilly</t>
  </si>
  <si>
    <t>Jeffrey Hernandez</t>
  </si>
  <si>
    <t>Jonathan Lynch</t>
  </si>
  <si>
    <t>Ashley Dominguez</t>
  </si>
  <si>
    <t>Michelle Harris</t>
  </si>
  <si>
    <t>John Fisher</t>
  </si>
  <si>
    <t>Patrick Gibson</t>
  </si>
  <si>
    <t>Jeremy Johnson</t>
  </si>
  <si>
    <t>Alexis Williams</t>
  </si>
  <si>
    <t>Veronica Pitts</t>
  </si>
  <si>
    <t>Wesley Walters</t>
  </si>
  <si>
    <t>Mark Santiago</t>
  </si>
  <si>
    <t>Jason Rocha</t>
  </si>
  <si>
    <t>Jasmine Sharp</t>
  </si>
  <si>
    <t>Allison Lynch</t>
  </si>
  <si>
    <t>Stacy Wagner</t>
  </si>
  <si>
    <t>Elaine Wong</t>
  </si>
  <si>
    <t>Jason Hill</t>
  </si>
  <si>
    <t>Robert Glover</t>
  </si>
  <si>
    <t>Marisa Chang</t>
  </si>
  <si>
    <t>Charles Johnson</t>
  </si>
  <si>
    <t>Guy Gay</t>
  </si>
  <si>
    <t>Karen Cain</t>
  </si>
  <si>
    <t>Ashley Poole</t>
  </si>
  <si>
    <t>Wanda Gould</t>
  </si>
  <si>
    <t>Bailey Pearson</t>
  </si>
  <si>
    <t>David Rodriguez</t>
  </si>
  <si>
    <t>Ashley Wilson</t>
  </si>
  <si>
    <t>Christopher Romero</t>
  </si>
  <si>
    <t>Denise Thompson</t>
  </si>
  <si>
    <t>Billy Wade</t>
  </si>
  <si>
    <t>Jason Martin</t>
  </si>
  <si>
    <t>Patricia Jenkins</t>
  </si>
  <si>
    <t>Veronica Bray</t>
  </si>
  <si>
    <t>Emily Jackson</t>
  </si>
  <si>
    <t>Julie Tucker</t>
  </si>
  <si>
    <t>Christopher Dunlap</t>
  </si>
  <si>
    <t>Michele Ball</t>
  </si>
  <si>
    <t>Courtney Patterson</t>
  </si>
  <si>
    <t>Christina Garcia</t>
  </si>
  <si>
    <t>Timothy Harris</t>
  </si>
  <si>
    <t>Amber Gomez</t>
  </si>
  <si>
    <t>Matthew Rogers</t>
  </si>
  <si>
    <t>Dr. James Garza</t>
  </si>
  <si>
    <t>Monica Hill</t>
  </si>
  <si>
    <t>Sara Graham</t>
  </si>
  <si>
    <t>Amy Browning</t>
  </si>
  <si>
    <t>Daniel Fowler</t>
  </si>
  <si>
    <t>Geoffrey Jenkins</t>
  </si>
  <si>
    <t>Tamara Wu</t>
  </si>
  <si>
    <t>Frank Pena</t>
  </si>
  <si>
    <t>Julie Watson DVM</t>
  </si>
  <si>
    <t>Jasmine Harvey</t>
  </si>
  <si>
    <t>Casey Jones</t>
  </si>
  <si>
    <t>Carlos Downs</t>
  </si>
  <si>
    <t>Curtis Brown</t>
  </si>
  <si>
    <t>Amanda Waters</t>
  </si>
  <si>
    <t>William Collins</t>
  </si>
  <si>
    <t>Wesley Jimenez</t>
  </si>
  <si>
    <t>Karen Sullivan</t>
  </si>
  <si>
    <t>Daniel Flores</t>
  </si>
  <si>
    <t>Kristy Nash</t>
  </si>
  <si>
    <t>Lisa Walters</t>
  </si>
  <si>
    <t>Kenneth Miranda</t>
  </si>
  <si>
    <t>Mark Smith</t>
  </si>
  <si>
    <t>Mike Blackwell</t>
  </si>
  <si>
    <t>Larry Perry MD</t>
  </si>
  <si>
    <t>Diane Myers</t>
  </si>
  <si>
    <t>Deborah Salazar</t>
  </si>
  <si>
    <t>Joseph Barnes</t>
  </si>
  <si>
    <t>Brandon King</t>
  </si>
  <si>
    <t>Vicki Taylor</t>
  </si>
  <si>
    <t>Christina Adams</t>
  </si>
  <si>
    <t>Brian Smith</t>
  </si>
  <si>
    <t>Corey Rodriguez</t>
  </si>
  <si>
    <t>Christopher Scott</t>
  </si>
  <si>
    <t>Susan Carter</t>
  </si>
  <si>
    <t>Richard Roberts</t>
  </si>
  <si>
    <t>Kimberly Carter</t>
  </si>
  <si>
    <t>Thomas Burch</t>
  </si>
  <si>
    <t>Sarah Baker</t>
  </si>
  <si>
    <t>Wesley Le</t>
  </si>
  <si>
    <t>Michael Robinson</t>
  </si>
  <si>
    <t>Jennifer Pearson</t>
  </si>
  <si>
    <t>Laura Valdez</t>
  </si>
  <si>
    <t>Christina Johnson</t>
  </si>
  <si>
    <t>Eric Nguyen</t>
  </si>
  <si>
    <t>William Cross</t>
  </si>
  <si>
    <t>Melissa Duncan</t>
  </si>
  <si>
    <t>David Robinson</t>
  </si>
  <si>
    <t>Jane Guzman</t>
  </si>
  <si>
    <t>Lisa Gregory</t>
  </si>
  <si>
    <t>Mark Randolph</t>
  </si>
  <si>
    <t>Jade Gilbert</t>
  </si>
  <si>
    <t>Brian Hernandez</t>
  </si>
  <si>
    <t>Gregory Stephens</t>
  </si>
  <si>
    <t>Marvin Bonilla</t>
  </si>
  <si>
    <t>Linda Dean</t>
  </si>
  <si>
    <t>Casey Gonzalez</t>
  </si>
  <si>
    <t>Nicholas Carter</t>
  </si>
  <si>
    <t>Kenneth Ferguson</t>
  </si>
  <si>
    <t>Michael Gordon</t>
  </si>
  <si>
    <t>Jose Macias</t>
  </si>
  <si>
    <t>David Ellis</t>
  </si>
  <si>
    <t>Heather Collins</t>
  </si>
  <si>
    <t>Hannah Brown</t>
  </si>
  <si>
    <t>Derek Cooper</t>
  </si>
  <si>
    <t>Roberto Farrell</t>
  </si>
  <si>
    <t>Valerie Jones</t>
  </si>
  <si>
    <t>Dennis Turner</t>
  </si>
  <si>
    <t>Elizabeth Jones</t>
  </si>
  <si>
    <t>Jennifer Snyder</t>
  </si>
  <si>
    <t>Christopher Frederick</t>
  </si>
  <si>
    <t>Christopher Ali</t>
  </si>
  <si>
    <t>Paul Wright MD</t>
  </si>
  <si>
    <t>Joseph Kelley</t>
  </si>
  <si>
    <t>Janice Sanchez</t>
  </si>
  <si>
    <t>James Moran</t>
  </si>
  <si>
    <t>Lauren Mendez</t>
  </si>
  <si>
    <t>Jean Miller</t>
  </si>
  <si>
    <t>Darrell Wolfe</t>
  </si>
  <si>
    <t>Carolyn Wright</t>
  </si>
  <si>
    <t>Evan Howard</t>
  </si>
  <si>
    <t>Norma Avila</t>
  </si>
  <si>
    <t>Anthony Robinson</t>
  </si>
  <si>
    <t>James Rose</t>
  </si>
  <si>
    <t>Courtney Dixon</t>
  </si>
  <si>
    <t>Megan Peterson</t>
  </si>
  <si>
    <t>Jessica Richmond</t>
  </si>
  <si>
    <t>Jennifer Hunter</t>
  </si>
  <si>
    <t>Michael Woodward</t>
  </si>
  <si>
    <t>Kevin Walker</t>
  </si>
  <si>
    <t>Heather Russell</t>
  </si>
  <si>
    <t>Jennifer Santos</t>
  </si>
  <si>
    <t>Lucas Santiago</t>
  </si>
  <si>
    <t>Gregory Hicks MD</t>
  </si>
  <si>
    <t>Anthony Armstrong</t>
  </si>
  <si>
    <t>Pamela Moore</t>
  </si>
  <si>
    <t>Gary Phillips</t>
  </si>
  <si>
    <t>Jennifer Williams</t>
  </si>
  <si>
    <t>Troy Roberts</t>
  </si>
  <si>
    <t>Thomas Pineda</t>
  </si>
  <si>
    <t>Robert Campbell</t>
  </si>
  <si>
    <t>Monique Camacho</t>
  </si>
  <si>
    <t>Ethan Combs</t>
  </si>
  <si>
    <t>Patrick Hammond</t>
  </si>
  <si>
    <t>Thomas Aguirre</t>
  </si>
  <si>
    <t>Larry Higgins</t>
  </si>
  <si>
    <t>Donald Scott</t>
  </si>
  <si>
    <t>Jennifer Moreno</t>
  </si>
  <si>
    <t>Heather Peterson</t>
  </si>
  <si>
    <t>Michael Roberts</t>
  </si>
  <si>
    <t>Michael Skinner</t>
  </si>
  <si>
    <t>Derek Young</t>
  </si>
  <si>
    <t>Jeanette Flynn</t>
  </si>
  <si>
    <t>Suzanne Graham</t>
  </si>
  <si>
    <t>Brittany Watson</t>
  </si>
  <si>
    <t>Cody Gonzalez</t>
  </si>
  <si>
    <t>Shane Garcia</t>
  </si>
  <si>
    <t>Miguel Mendoza</t>
  </si>
  <si>
    <t>Timothy Reeves</t>
  </si>
  <si>
    <t>Amanda Mahoney</t>
  </si>
  <si>
    <t>John Sutton</t>
  </si>
  <si>
    <t>Eric Moss</t>
  </si>
  <si>
    <t>Debbie Castillo</t>
  </si>
  <si>
    <t>Kelly Curry</t>
  </si>
  <si>
    <t>Elizabeth Hunter</t>
  </si>
  <si>
    <t>Elizabeth Frazier</t>
  </si>
  <si>
    <t>Erica Browning</t>
  </si>
  <si>
    <t>James Morgan</t>
  </si>
  <si>
    <t>Margaret Mcdowell</t>
  </si>
  <si>
    <t>Steven Melendez</t>
  </si>
  <si>
    <t>Diane Garza</t>
  </si>
  <si>
    <t>Jason Russell</t>
  </si>
  <si>
    <t>Catherine Martinez</t>
  </si>
  <si>
    <t>Thomas Huynh</t>
  </si>
  <si>
    <t>Susan Browning</t>
  </si>
  <si>
    <t>James Butler</t>
  </si>
  <si>
    <t>Joseph Hamilton</t>
  </si>
  <si>
    <t>Alyssa Anthony</t>
  </si>
  <si>
    <t>Jerry Pineda</t>
  </si>
  <si>
    <t>Brandy Smith</t>
  </si>
  <si>
    <t>Ivan Haynes</t>
  </si>
  <si>
    <t>Amber Mendez</t>
  </si>
  <si>
    <t>Order Date</t>
  </si>
  <si>
    <t>Total Sales</t>
  </si>
  <si>
    <t>Month</t>
  </si>
  <si>
    <t>Day</t>
  </si>
  <si>
    <t>Time Period</t>
  </si>
  <si>
    <t>Hour</t>
  </si>
  <si>
    <t>Morning</t>
  </si>
  <si>
    <t>Afternoon</t>
  </si>
  <si>
    <t>Evening</t>
  </si>
  <si>
    <t>Grand Total</t>
  </si>
  <si>
    <t>Sum of Total Sales</t>
  </si>
  <si>
    <t>Jan</t>
  </si>
  <si>
    <t>Feb</t>
  </si>
  <si>
    <t>Mar</t>
  </si>
  <si>
    <t>Apr</t>
  </si>
  <si>
    <t>May</t>
  </si>
  <si>
    <t>Jun</t>
  </si>
  <si>
    <t>Jul</t>
  </si>
  <si>
    <t>Aug</t>
  </si>
  <si>
    <t>Cost</t>
  </si>
  <si>
    <t>Profit</t>
  </si>
  <si>
    <t>Sun</t>
  </si>
  <si>
    <t>Mon</t>
  </si>
  <si>
    <t>Tue</t>
  </si>
  <si>
    <t>Wed</t>
  </si>
  <si>
    <t>Thu</t>
  </si>
  <si>
    <t>Fri</t>
  </si>
  <si>
    <t>Sat</t>
  </si>
  <si>
    <t>Sum of Quantity</t>
  </si>
  <si>
    <t>Sum of Profit</t>
  </si>
  <si>
    <t>Profit_Margin</t>
  </si>
  <si>
    <t>Price Category</t>
  </si>
  <si>
    <t>Day Type</t>
  </si>
  <si>
    <t>Weekday</t>
  </si>
  <si>
    <t>Weekend</t>
  </si>
  <si>
    <t>Total revenue</t>
  </si>
  <si>
    <t>Total profit</t>
  </si>
  <si>
    <t>Profit Margin</t>
  </si>
  <si>
    <t>Total sales</t>
  </si>
  <si>
    <t>Total Item Sold</t>
  </si>
  <si>
    <t>Avg Items per order</t>
  </si>
  <si>
    <t>Items</t>
  </si>
  <si>
    <t>Time period</t>
  </si>
  <si>
    <t>Payment method</t>
  </si>
  <si>
    <t>Day type</t>
  </si>
  <si>
    <t>Moth</t>
  </si>
  <si>
    <t>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</si>
</sst>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F400]h:mm:ss\ AM/PM"/>
    <numFmt numFmtId="165" formatCode="_(* #,##0_);_(* \(#,##0\);_(* &quot;-&quot;??_);_(@_)"/>
    <numFmt numFmtId="166" formatCode="_(&quot;$&quot;* #,##0_);_(&quot;$&quot;* \(#,##0\);_(&quot;$&quot;*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5F0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20">
    <xf numFmtId="0" fontId="0" fillId="0" borderId="0" xfId="0"/>
    <xf numFmtId="22" fontId="0" fillId="0" borderId="0" xfId="0" applyNumberFormat="1"/>
    <xf numFmtId="14" fontId="0" fillId="0" borderId="0" xfId="0" applyNumberForma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1" fontId="0" fillId="0" borderId="0" xfId="0" applyNumberFormat="1"/>
    <xf numFmtId="9" fontId="0" fillId="0" borderId="0" xfId="42" applyFont="1"/>
    <xf numFmtId="165" fontId="0" fillId="0" borderId="0" xfId="43" applyNumberFormat="1" applyFont="1"/>
    <xf numFmtId="0" fontId="0" fillId="34" borderId="0" xfId="0" applyFill="1"/>
    <xf numFmtId="166" fontId="0" fillId="0" borderId="0" xfId="0" pivotButton="1" applyNumberFormat="1"/>
    <xf numFmtId="166" fontId="0" fillId="0" borderId="0" xfId="0" applyNumberFormat="1"/>
    <xf numFmtId="166" fontId="0" fillId="0" borderId="0" xfId="0" applyNumberFormat="1" applyAlignment="1">
      <alignment horizontal="left"/>
    </xf>
    <xf numFmtId="0" fontId="18" fillId="33" borderId="0" xfId="0" applyFont="1" applyFill="1"/>
    <xf numFmtId="165" fontId="18" fillId="0" borderId="0" xfId="43" applyNumberFormat="1" applyFont="1"/>
    <xf numFmtId="1" fontId="18" fillId="0" borderId="0" xfId="0" applyNumberFormat="1" applyFont="1"/>
    <xf numFmtId="166" fontId="18" fillId="33" borderId="0" xfId="44" applyNumberFormat="1" applyFont="1" applyFill="1"/>
    <xf numFmtId="166" fontId="18" fillId="0" borderId="0" xfId="44" applyNumberFormat="1" applyFont="1"/>
    <xf numFmtId="9" fontId="18" fillId="0" borderId="0" xfId="42" applyFont="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Currency" xfId="44"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0">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0" formatCode="General"/>
    </dxf>
    <dxf>
      <numFmt numFmtId="164" formatCode="[$-F400]h:mm:ss\ AM/PM"/>
    </dxf>
    <dxf>
      <numFmt numFmtId="19" formatCode="m/d/yyyy"/>
    </dxf>
    <dxf>
      <font>
        <b val="0"/>
        <i val="0"/>
        <strike val="0"/>
        <condense val="0"/>
        <extend val="0"/>
        <outline val="0"/>
        <shadow val="0"/>
        <u val="none"/>
        <vertAlign val="baseline"/>
        <sz val="11"/>
        <color theme="1"/>
        <name val="Calibri"/>
        <family val="2"/>
        <scheme val="minor"/>
      </font>
    </dxf>
    <dxf>
      <numFmt numFmtId="2" formatCode="0.00"/>
    </dxf>
    <dxf>
      <numFmt numFmtId="2" formatCode="0.00"/>
    </dxf>
    <dxf>
      <numFmt numFmtId="2" formatCode="0.00"/>
    </dxf>
    <dxf>
      <numFmt numFmtId="2" formatCode="0.00"/>
    </dxf>
    <dxf>
      <numFmt numFmtId="0" formatCode="General"/>
    </dxf>
  </dxfs>
  <tableStyles count="0" defaultTableStyle="TableStyleMedium2" defaultPivotStyle="PivotStyleLight16"/>
  <colors>
    <mruColors>
      <color rgb="FF9E7F3F"/>
      <color rgb="FF7A6230"/>
      <color rgb="FFC4A45A"/>
      <color rgb="FFF5F0E8"/>
      <color rgb="FF5C4A1E"/>
      <color rgb="FFF0E8D4"/>
      <color rgb="FFE0D8C8"/>
      <color rgb="FFFFFFFF"/>
      <color rgb="FF3B3224"/>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[Restaurant.xlsx]Pivot_Table!PivotTable15</c:name>
    <c:fmtId val="35"/>
  </c:pivotSource>
  <c:chart>
    <c:title>
      <c:tx>
        <c:rich>
          <a:bodyPr rot="0" spcFirstLastPara="1" vertOverflow="ellipsis" vert="horz" wrap="square" anchor="ctr" anchorCtr="1"/>
          <a:lstStyle/>
          <a:p>
            <a:pPr>
              <a:defRPr sz="800" b="0" i="0" u="none" strike="noStrike" kern="1200" spc="0" baseline="0">
                <a:ln>
                  <a:noFill/>
                </a:ln>
                <a:solidFill>
                  <a:schemeClr val="tx1">
                    <a:lumMod val="65000"/>
                    <a:lumOff val="35000"/>
                  </a:schemeClr>
                </a:solidFill>
                <a:latin typeface="+mn-lt"/>
                <a:ea typeface="+mn-ea"/>
                <a:cs typeface="+mn-cs"/>
              </a:defRPr>
            </a:pPr>
            <a:r>
              <a:rPr lang="en-US" sz="800" b="1" i="0" u="none" strike="noStrike" baseline="0">
                <a:solidFill>
                  <a:schemeClr val="accent4">
                    <a:lumMod val="50000"/>
                  </a:schemeClr>
                </a:solidFill>
                <a:effectLst/>
              </a:rPr>
              <a:t>Total sales per month </a:t>
            </a:r>
            <a:endParaRPr lang="en-US" sz="800" b="1">
              <a:solidFill>
                <a:schemeClr val="accent4">
                  <a:lumMod val="50000"/>
                </a:schemeClr>
              </a:solidFill>
            </a:endParaRPr>
          </a:p>
        </c:rich>
      </c:tx>
      <c:layout>
        <c:manualLayout>
          <c:xMode val="edge"/>
          <c:yMode val="edge"/>
          <c:x val="1.381563197642807E-2"/>
          <c:y val="3.9127819340388149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chemeClr val="accent6"/>
          </a:solidFill>
          <a:ln w="28575" cap="rnd">
            <a:solidFill>
              <a:srgbClr val="5C4A1E"/>
            </a:solidFill>
            <a:round/>
          </a:ln>
          <a:effectLst/>
        </c:spPr>
        <c:marker>
          <c:symbol val="circle"/>
          <c:size val="5"/>
          <c:spPr>
            <a:solidFill>
              <a:srgbClr val="5C4A1E"/>
            </a:solidFill>
            <a:ln w="9525">
              <a:solidFill>
                <a:srgbClr val="5C4A1E"/>
              </a:solidFill>
            </a:ln>
            <a:effectLst/>
          </c:spPr>
        </c:marker>
        <c:dLbl>
          <c:idx val="0"/>
          <c:delete val="1"/>
          <c:extLst>
            <c:ext xmlns:c15="http://schemas.microsoft.com/office/drawing/2012/chart" uri="{CE6537A1-D6FC-4f65-9D91-7224C49458BB}"/>
          </c:extLst>
        </c:dLbl>
      </c:pivotFmt>
      <c:pivotFmt>
        <c:idx val="3"/>
        <c:spPr>
          <a:solidFill>
            <a:schemeClr val="accent6"/>
          </a:solidFill>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4"/>
        <c:spPr>
          <a:solidFill>
            <a:schemeClr val="accent6"/>
          </a:solidFill>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5"/>
        <c:spPr>
          <a:solidFill>
            <a:schemeClr val="accent6"/>
          </a:solidFill>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6"/>
        <c:spPr>
          <a:solidFill>
            <a:schemeClr val="accent6"/>
          </a:solidFill>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7"/>
        <c:spPr>
          <a:solidFill>
            <a:schemeClr val="accent6"/>
          </a:solidFill>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8"/>
        <c:spPr>
          <a:solidFill>
            <a:schemeClr val="accent6"/>
          </a:solidFill>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9"/>
        <c:spPr>
          <a:solidFill>
            <a:schemeClr val="accent6"/>
          </a:solidFill>
          <a:ln w="3492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10"/>
        <c:spPr>
          <a:solidFill>
            <a:schemeClr val="accent6"/>
          </a:solidFill>
          <a:ln w="28575" cap="rnd">
            <a:solidFill>
              <a:srgbClr val="5C4A1E"/>
            </a:solidFill>
            <a:round/>
          </a:ln>
          <a:effectLst/>
        </c:spPr>
        <c:marker>
          <c:symbol val="circle"/>
          <c:size val="5"/>
          <c:spPr>
            <a:solidFill>
              <a:srgbClr val="5C4A1E"/>
            </a:solidFill>
            <a:ln w="9525">
              <a:solidFill>
                <a:srgbClr val="5C4A1E"/>
              </a:solidFill>
            </a:ln>
            <a:effectLst/>
          </c:spPr>
        </c:marker>
        <c:dLbl>
          <c:idx val="0"/>
          <c:delete val="1"/>
          <c:extLst>
            <c:ext xmlns:c15="http://schemas.microsoft.com/office/drawing/2012/chart" uri="{CE6537A1-D6FC-4f65-9D91-7224C49458BB}"/>
          </c:extLst>
        </c:dLbl>
      </c:pivotFmt>
      <c:pivotFmt>
        <c:idx val="11"/>
        <c:spPr>
          <a:solidFill>
            <a:schemeClr val="accent6"/>
          </a:solidFill>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12"/>
        <c:spPr>
          <a:solidFill>
            <a:schemeClr val="accent6"/>
          </a:solidFill>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13"/>
        <c:spPr>
          <a:solidFill>
            <a:schemeClr val="accent6"/>
          </a:solidFill>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14"/>
        <c:spPr>
          <a:solidFill>
            <a:schemeClr val="accent6"/>
          </a:solidFill>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15"/>
        <c:spPr>
          <a:solidFill>
            <a:schemeClr val="accent6"/>
          </a:solidFill>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16"/>
        <c:spPr>
          <a:solidFill>
            <a:schemeClr val="accent6"/>
          </a:solidFill>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17"/>
        <c:spPr>
          <a:solidFill>
            <a:schemeClr val="accent6"/>
          </a:solidFill>
          <a:ln w="34925" cap="rnd">
            <a:solidFill>
              <a:schemeClr val="accent4">
                <a:lumMod val="50000"/>
              </a:schemeClr>
            </a:solidFill>
            <a:round/>
          </a:ln>
          <a:effectLst/>
        </c:spPr>
        <c:marker>
          <c:symbol val="circle"/>
          <c:size val="5"/>
          <c:spPr>
            <a:solidFill>
              <a:srgbClr val="5C4A1E"/>
            </a:solidFill>
            <a:ln w="25400">
              <a:solidFill>
                <a:srgbClr val="5C4A1E"/>
              </a:solidFill>
            </a:ln>
            <a:effectLst/>
          </c:spPr>
        </c:marker>
      </c:pivotFmt>
      <c:pivotFmt>
        <c:idx val="18"/>
        <c:spPr>
          <a:ln w="28575" cap="rnd">
            <a:solidFill>
              <a:srgbClr val="5C4A1E"/>
            </a:solidFill>
            <a:round/>
          </a:ln>
          <a:effectLst/>
        </c:spPr>
        <c:marker>
          <c:symbol val="circle"/>
          <c:size val="5"/>
          <c:spPr>
            <a:solidFill>
              <a:srgbClr val="5C4A1E"/>
            </a:solidFill>
            <a:ln w="9525">
              <a:solidFill>
                <a:srgbClr val="5C4A1E"/>
              </a:solidFill>
            </a:ln>
            <a:effectLst/>
          </c:spPr>
        </c:marker>
        <c:dLbl>
          <c:idx val="0"/>
          <c:delete val="1"/>
          <c:extLst>
            <c:ext xmlns:c15="http://schemas.microsoft.com/office/drawing/2012/chart" uri="{CE6537A1-D6FC-4f65-9D91-7224C49458BB}"/>
          </c:extLst>
        </c:dLbl>
      </c:pivotFmt>
      <c:pivotFmt>
        <c:idx val="19"/>
        <c:spPr>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20"/>
        <c:spPr>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21"/>
        <c:spPr>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22"/>
        <c:spPr>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23"/>
        <c:spPr>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24"/>
        <c:spPr>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25"/>
        <c:spPr>
          <a:ln w="34925" cap="rnd">
            <a:solidFill>
              <a:schemeClr val="accent4">
                <a:lumMod val="50000"/>
              </a:schemeClr>
            </a:solidFill>
            <a:round/>
          </a:ln>
          <a:effectLst/>
        </c:spPr>
        <c:marker>
          <c:symbol val="circle"/>
          <c:size val="5"/>
          <c:spPr>
            <a:solidFill>
              <a:srgbClr val="5C4A1E"/>
            </a:solidFill>
            <a:ln w="25400">
              <a:solidFill>
                <a:srgbClr val="5C4A1E"/>
              </a:solidFill>
            </a:ln>
            <a:effectLst/>
          </c:spPr>
        </c:marker>
      </c:pivotFmt>
      <c:pivotFmt>
        <c:idx val="26"/>
        <c:spPr>
          <a:ln w="28575" cap="rnd">
            <a:solidFill>
              <a:srgbClr val="5C4A1E"/>
            </a:solidFill>
            <a:round/>
          </a:ln>
          <a:effectLst/>
        </c:spPr>
        <c:marker>
          <c:symbol val="circle"/>
          <c:size val="5"/>
          <c:spPr>
            <a:solidFill>
              <a:srgbClr val="5C4A1E"/>
            </a:solidFill>
            <a:ln w="9525">
              <a:solidFill>
                <a:srgbClr val="5C4A1E"/>
              </a:solidFill>
            </a:ln>
            <a:effectLst/>
          </c:spPr>
        </c:marker>
        <c:dLbl>
          <c:idx val="0"/>
          <c:delete val="1"/>
          <c:extLst>
            <c:ext xmlns:c15="http://schemas.microsoft.com/office/drawing/2012/chart" uri="{CE6537A1-D6FC-4f65-9D91-7224C49458BB}"/>
          </c:extLst>
        </c:dLbl>
      </c:pivotFmt>
      <c:pivotFmt>
        <c:idx val="27"/>
        <c:spPr>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28"/>
        <c:spPr>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29"/>
        <c:spPr>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30"/>
        <c:spPr>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31"/>
        <c:spPr>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32"/>
        <c:spPr>
          <a:ln w="28575" cap="rnd">
            <a:solidFill>
              <a:schemeClr val="accent4">
                <a:lumMod val="50000"/>
              </a:schemeClr>
            </a:solidFill>
            <a:round/>
          </a:ln>
          <a:effectLst/>
        </c:spPr>
        <c:marker>
          <c:symbol val="circle"/>
          <c:size val="5"/>
          <c:spPr>
            <a:solidFill>
              <a:srgbClr val="5C4A1E"/>
            </a:solidFill>
            <a:ln w="9525">
              <a:solidFill>
                <a:srgbClr val="5C4A1E"/>
              </a:solidFill>
            </a:ln>
            <a:effectLst/>
          </c:spPr>
        </c:marker>
      </c:pivotFmt>
      <c:pivotFmt>
        <c:idx val="33"/>
        <c:spPr>
          <a:ln w="34925" cap="rnd">
            <a:solidFill>
              <a:schemeClr val="accent4">
                <a:lumMod val="50000"/>
              </a:schemeClr>
            </a:solidFill>
            <a:round/>
          </a:ln>
          <a:effectLst/>
        </c:spPr>
        <c:marker>
          <c:symbol val="circle"/>
          <c:size val="5"/>
          <c:spPr>
            <a:solidFill>
              <a:srgbClr val="5C4A1E"/>
            </a:solidFill>
            <a:ln w="25400">
              <a:solidFill>
                <a:srgbClr val="5C4A1E"/>
              </a:solidFill>
            </a:ln>
            <a:effectLst/>
          </c:spPr>
        </c:marker>
      </c:pivotFmt>
      <c:pivotFmt>
        <c:idx val="34"/>
        <c:spPr>
          <a:ln w="28575" cap="rnd">
            <a:solidFill>
              <a:srgbClr val="5C4A1E"/>
            </a:solidFill>
            <a:round/>
          </a:ln>
          <a:effectLst/>
        </c:spPr>
        <c:marker>
          <c:symbol val="circle"/>
          <c:size val="5"/>
          <c:spPr>
            <a:solidFill>
              <a:srgbClr val="5C4A1E"/>
            </a:solidFill>
            <a:ln w="9525">
              <a:solidFill>
                <a:srgbClr val="5C4A1E"/>
              </a:solidFill>
            </a:ln>
            <a:effectLst/>
          </c:spPr>
        </c:marker>
        <c:dLbl>
          <c:idx val="0"/>
          <c:delete val="1"/>
          <c:extLst>
            <c:ext xmlns:c15="http://schemas.microsoft.com/office/drawing/2012/chart" uri="{CE6537A1-D6FC-4f65-9D91-7224C49458BB}"/>
          </c:extLst>
        </c:dLbl>
      </c:pivotFmt>
      <c:pivotFmt>
        <c:idx val="35"/>
        <c:spPr>
          <a:ln w="28575" cap="rnd">
            <a:solidFill>
              <a:schemeClr val="accent4">
                <a:lumMod val="50000"/>
              </a:schemeClr>
            </a:solidFill>
            <a:round/>
          </a:ln>
          <a:effectLst/>
        </c:spPr>
      </c:pivotFmt>
      <c:pivotFmt>
        <c:idx val="36"/>
        <c:spPr>
          <a:ln w="28575" cap="rnd">
            <a:solidFill>
              <a:schemeClr val="accent4">
                <a:lumMod val="50000"/>
              </a:schemeClr>
            </a:solidFill>
            <a:round/>
          </a:ln>
          <a:effectLst/>
        </c:spPr>
      </c:pivotFmt>
      <c:pivotFmt>
        <c:idx val="37"/>
        <c:spPr>
          <a:ln w="28575" cap="rnd">
            <a:solidFill>
              <a:schemeClr val="accent4">
                <a:lumMod val="50000"/>
              </a:schemeClr>
            </a:solidFill>
            <a:round/>
          </a:ln>
          <a:effectLst/>
        </c:spPr>
      </c:pivotFmt>
      <c:pivotFmt>
        <c:idx val="38"/>
        <c:spPr>
          <a:ln w="28575" cap="rnd">
            <a:solidFill>
              <a:schemeClr val="accent4">
                <a:lumMod val="50000"/>
              </a:schemeClr>
            </a:solidFill>
            <a:round/>
          </a:ln>
          <a:effectLst/>
        </c:spPr>
      </c:pivotFmt>
      <c:pivotFmt>
        <c:idx val="39"/>
        <c:spPr>
          <a:ln w="28575" cap="rnd">
            <a:solidFill>
              <a:schemeClr val="accent4">
                <a:lumMod val="50000"/>
              </a:schemeClr>
            </a:solidFill>
            <a:round/>
          </a:ln>
          <a:effectLst/>
        </c:spPr>
      </c:pivotFmt>
      <c:pivotFmt>
        <c:idx val="40"/>
        <c:spPr>
          <a:ln w="28575" cap="rnd">
            <a:solidFill>
              <a:schemeClr val="accent4">
                <a:lumMod val="50000"/>
              </a:schemeClr>
            </a:solidFill>
            <a:round/>
          </a:ln>
          <a:effectLst/>
        </c:spPr>
      </c:pivotFmt>
      <c:pivotFmt>
        <c:idx val="41"/>
        <c:spPr>
          <a:ln w="34925" cap="rnd">
            <a:solidFill>
              <a:schemeClr val="accent4">
                <a:lumMod val="50000"/>
              </a:schemeClr>
            </a:solidFill>
            <a:round/>
          </a:ln>
          <a:effectLst/>
        </c:spPr>
        <c:marker>
          <c:spPr>
            <a:solidFill>
              <a:srgbClr val="5C4A1E"/>
            </a:solidFill>
            <a:ln w="25400">
              <a:solidFill>
                <a:srgbClr val="5C4A1E"/>
              </a:solidFill>
            </a:ln>
            <a:effectLst/>
          </c:spPr>
        </c:marker>
      </c:pivotFmt>
      <c:pivotFmt>
        <c:idx val="42"/>
        <c:spPr>
          <a:ln w="28575" cap="rnd">
            <a:solidFill>
              <a:srgbClr val="5C4A1E"/>
            </a:solidFill>
            <a:round/>
          </a:ln>
          <a:effectLst/>
        </c:spPr>
        <c:marker>
          <c:symbol val="circle"/>
          <c:size val="5"/>
          <c:spPr>
            <a:solidFill>
              <a:srgbClr val="5C4A1E"/>
            </a:solidFill>
            <a:ln w="9525">
              <a:solidFill>
                <a:srgbClr val="5C4A1E"/>
              </a:solidFill>
            </a:ln>
            <a:effectLst/>
          </c:spPr>
        </c:marker>
        <c:dLbl>
          <c:idx val="0"/>
          <c:delete val="1"/>
          <c:extLst>
            <c:ext xmlns:c15="http://schemas.microsoft.com/office/drawing/2012/chart" uri="{CE6537A1-D6FC-4f65-9D91-7224C49458BB}"/>
          </c:extLst>
        </c:dLbl>
      </c:pivotFmt>
      <c:pivotFmt>
        <c:idx val="43"/>
        <c:spPr>
          <a:ln w="28575" cap="rnd">
            <a:solidFill>
              <a:schemeClr val="accent4">
                <a:lumMod val="50000"/>
              </a:schemeClr>
            </a:solidFill>
            <a:round/>
          </a:ln>
          <a:effectLst/>
        </c:spPr>
      </c:pivotFmt>
      <c:pivotFmt>
        <c:idx val="44"/>
        <c:spPr>
          <a:ln w="28575" cap="rnd">
            <a:solidFill>
              <a:schemeClr val="accent4">
                <a:lumMod val="50000"/>
              </a:schemeClr>
            </a:solidFill>
            <a:round/>
          </a:ln>
          <a:effectLst/>
        </c:spPr>
      </c:pivotFmt>
      <c:pivotFmt>
        <c:idx val="45"/>
        <c:spPr>
          <a:ln w="28575" cap="rnd">
            <a:solidFill>
              <a:schemeClr val="accent4">
                <a:lumMod val="50000"/>
              </a:schemeClr>
            </a:solidFill>
            <a:round/>
          </a:ln>
          <a:effectLst/>
        </c:spPr>
      </c:pivotFmt>
      <c:pivotFmt>
        <c:idx val="46"/>
        <c:spPr>
          <a:ln w="28575" cap="rnd">
            <a:solidFill>
              <a:schemeClr val="accent4">
                <a:lumMod val="50000"/>
              </a:schemeClr>
            </a:solidFill>
            <a:round/>
          </a:ln>
          <a:effectLst/>
        </c:spPr>
      </c:pivotFmt>
      <c:pivotFmt>
        <c:idx val="47"/>
        <c:spPr>
          <a:ln w="28575" cap="rnd">
            <a:solidFill>
              <a:schemeClr val="accent4">
                <a:lumMod val="50000"/>
              </a:schemeClr>
            </a:solidFill>
            <a:round/>
          </a:ln>
          <a:effectLst/>
        </c:spPr>
      </c:pivotFmt>
      <c:pivotFmt>
        <c:idx val="48"/>
        <c:spPr>
          <a:ln w="28575" cap="rnd">
            <a:solidFill>
              <a:schemeClr val="accent4">
                <a:lumMod val="50000"/>
              </a:schemeClr>
            </a:solidFill>
            <a:round/>
          </a:ln>
          <a:effectLst/>
        </c:spPr>
      </c:pivotFmt>
      <c:pivotFmt>
        <c:idx val="49"/>
        <c:spPr>
          <a:ln w="34925" cap="rnd">
            <a:solidFill>
              <a:schemeClr val="accent4">
                <a:lumMod val="50000"/>
              </a:schemeClr>
            </a:solidFill>
            <a:round/>
          </a:ln>
          <a:effectLst/>
        </c:spPr>
        <c:marker>
          <c:spPr>
            <a:solidFill>
              <a:srgbClr val="5C4A1E"/>
            </a:solidFill>
            <a:ln w="25400">
              <a:solidFill>
                <a:srgbClr val="5C4A1E"/>
              </a:solidFill>
            </a:ln>
            <a:effectLst/>
          </c:spPr>
        </c:marker>
      </c:pivotFmt>
      <c:pivotFmt>
        <c:idx val="50"/>
        <c:spPr>
          <a:ln w="28575" cap="rnd">
            <a:solidFill>
              <a:srgbClr val="5C4A1E"/>
            </a:solidFill>
            <a:round/>
          </a:ln>
          <a:effectLst/>
        </c:spPr>
        <c:marker>
          <c:symbol val="circle"/>
          <c:size val="5"/>
          <c:spPr>
            <a:solidFill>
              <a:srgbClr val="5C4A1E"/>
            </a:solidFill>
            <a:ln w="9525">
              <a:solidFill>
                <a:srgbClr val="5C4A1E"/>
              </a:solidFill>
            </a:ln>
            <a:effectLst/>
          </c:spPr>
        </c:marker>
        <c:dLbl>
          <c:idx val="0"/>
          <c:delete val="1"/>
          <c:extLst>
            <c:ext xmlns:c15="http://schemas.microsoft.com/office/drawing/2012/chart" uri="{CE6537A1-D6FC-4f65-9D91-7224C49458BB}"/>
          </c:extLst>
        </c:dLbl>
      </c:pivotFmt>
      <c:pivotFmt>
        <c:idx val="51"/>
        <c:spPr>
          <a:ln w="28575" cap="rnd">
            <a:solidFill>
              <a:schemeClr val="accent4">
                <a:lumMod val="50000"/>
              </a:schemeClr>
            </a:solidFill>
            <a:round/>
          </a:ln>
          <a:effectLst/>
        </c:spPr>
      </c:pivotFmt>
      <c:pivotFmt>
        <c:idx val="52"/>
        <c:spPr>
          <a:ln w="28575" cap="rnd">
            <a:solidFill>
              <a:schemeClr val="accent4">
                <a:lumMod val="50000"/>
              </a:schemeClr>
            </a:solidFill>
            <a:round/>
          </a:ln>
          <a:effectLst/>
        </c:spPr>
      </c:pivotFmt>
      <c:pivotFmt>
        <c:idx val="53"/>
        <c:spPr>
          <a:ln w="28575" cap="rnd">
            <a:solidFill>
              <a:schemeClr val="accent4">
                <a:lumMod val="50000"/>
              </a:schemeClr>
            </a:solidFill>
            <a:round/>
          </a:ln>
          <a:effectLst/>
        </c:spPr>
      </c:pivotFmt>
      <c:pivotFmt>
        <c:idx val="54"/>
        <c:spPr>
          <a:ln w="28575" cap="rnd">
            <a:solidFill>
              <a:schemeClr val="accent4">
                <a:lumMod val="50000"/>
              </a:schemeClr>
            </a:solidFill>
            <a:round/>
          </a:ln>
          <a:effectLst/>
        </c:spPr>
      </c:pivotFmt>
      <c:pivotFmt>
        <c:idx val="55"/>
        <c:spPr>
          <a:ln w="28575" cap="rnd">
            <a:solidFill>
              <a:schemeClr val="accent4">
                <a:lumMod val="50000"/>
              </a:schemeClr>
            </a:solidFill>
            <a:round/>
          </a:ln>
          <a:effectLst/>
        </c:spPr>
      </c:pivotFmt>
      <c:pivotFmt>
        <c:idx val="56"/>
        <c:spPr>
          <a:ln w="28575" cap="rnd">
            <a:solidFill>
              <a:schemeClr val="accent4">
                <a:lumMod val="50000"/>
              </a:schemeClr>
            </a:solidFill>
            <a:round/>
          </a:ln>
          <a:effectLst/>
        </c:spPr>
      </c:pivotFmt>
      <c:pivotFmt>
        <c:idx val="57"/>
        <c:spPr>
          <a:ln w="34925" cap="rnd">
            <a:solidFill>
              <a:schemeClr val="accent4">
                <a:lumMod val="50000"/>
              </a:schemeClr>
            </a:solidFill>
            <a:round/>
          </a:ln>
          <a:effectLst/>
        </c:spPr>
        <c:marker>
          <c:spPr>
            <a:solidFill>
              <a:srgbClr val="5C4A1E"/>
            </a:solidFill>
            <a:ln w="25400">
              <a:solidFill>
                <a:srgbClr val="5C4A1E"/>
              </a:solidFill>
            </a:ln>
            <a:effectLst/>
          </c:spPr>
        </c:marker>
      </c:pivotFmt>
      <c:pivotFmt>
        <c:idx val="58"/>
        <c:spPr>
          <a:ln w="28575" cap="rnd">
            <a:solidFill>
              <a:srgbClr val="5C4A1E"/>
            </a:solidFill>
            <a:round/>
          </a:ln>
          <a:effectLst/>
        </c:spPr>
        <c:marker>
          <c:symbol val="circle"/>
          <c:size val="5"/>
          <c:spPr>
            <a:solidFill>
              <a:srgbClr val="5C4A1E"/>
            </a:solidFill>
            <a:ln w="9525">
              <a:solidFill>
                <a:srgbClr val="5C4A1E"/>
              </a:solidFill>
            </a:ln>
            <a:effectLst/>
          </c:spPr>
        </c:marker>
        <c:dLbl>
          <c:idx val="0"/>
          <c:delete val="1"/>
          <c:extLst>
            <c:ext xmlns:c15="http://schemas.microsoft.com/office/drawing/2012/chart" uri="{CE6537A1-D6FC-4f65-9D91-7224C49458BB}"/>
          </c:extLst>
        </c:dLbl>
      </c:pivotFmt>
      <c:pivotFmt>
        <c:idx val="59"/>
        <c:spPr>
          <a:ln w="28575" cap="rnd">
            <a:solidFill>
              <a:schemeClr val="accent4">
                <a:lumMod val="50000"/>
              </a:schemeClr>
            </a:solidFill>
            <a:round/>
          </a:ln>
          <a:effectLst/>
        </c:spPr>
      </c:pivotFmt>
      <c:pivotFmt>
        <c:idx val="60"/>
        <c:spPr>
          <a:ln w="28575" cap="rnd">
            <a:solidFill>
              <a:schemeClr val="accent4">
                <a:lumMod val="50000"/>
              </a:schemeClr>
            </a:solidFill>
            <a:round/>
          </a:ln>
          <a:effectLst/>
        </c:spPr>
      </c:pivotFmt>
      <c:pivotFmt>
        <c:idx val="61"/>
        <c:spPr>
          <a:ln w="28575" cap="rnd">
            <a:solidFill>
              <a:schemeClr val="accent4">
                <a:lumMod val="50000"/>
              </a:schemeClr>
            </a:solidFill>
            <a:round/>
          </a:ln>
          <a:effectLst/>
        </c:spPr>
      </c:pivotFmt>
      <c:pivotFmt>
        <c:idx val="62"/>
        <c:spPr>
          <a:ln w="28575" cap="rnd">
            <a:solidFill>
              <a:schemeClr val="accent4">
                <a:lumMod val="50000"/>
              </a:schemeClr>
            </a:solidFill>
            <a:round/>
          </a:ln>
          <a:effectLst/>
        </c:spPr>
      </c:pivotFmt>
      <c:pivotFmt>
        <c:idx val="63"/>
        <c:spPr>
          <a:ln w="28575" cap="rnd">
            <a:solidFill>
              <a:schemeClr val="accent4">
                <a:lumMod val="50000"/>
              </a:schemeClr>
            </a:solidFill>
            <a:round/>
          </a:ln>
          <a:effectLst/>
        </c:spPr>
      </c:pivotFmt>
      <c:pivotFmt>
        <c:idx val="64"/>
        <c:spPr>
          <a:ln w="28575" cap="rnd">
            <a:solidFill>
              <a:schemeClr val="accent4">
                <a:lumMod val="50000"/>
              </a:schemeClr>
            </a:solidFill>
            <a:round/>
          </a:ln>
          <a:effectLst/>
        </c:spPr>
      </c:pivotFmt>
      <c:pivotFmt>
        <c:idx val="65"/>
        <c:spPr>
          <a:ln w="34925" cap="rnd">
            <a:solidFill>
              <a:schemeClr val="accent4">
                <a:lumMod val="50000"/>
              </a:schemeClr>
            </a:solidFill>
            <a:round/>
          </a:ln>
          <a:effectLst/>
        </c:spPr>
        <c:marker>
          <c:spPr>
            <a:solidFill>
              <a:srgbClr val="5C4A1E"/>
            </a:solidFill>
            <a:ln w="25400">
              <a:solidFill>
                <a:srgbClr val="5C4A1E"/>
              </a:solidFill>
            </a:ln>
            <a:effectLst/>
          </c:spPr>
        </c:marker>
      </c:pivotFmt>
      <c:pivotFmt>
        <c:idx val="66"/>
        <c:spPr>
          <a:ln w="28575" cap="rnd">
            <a:solidFill>
              <a:srgbClr val="5C4A1E"/>
            </a:solidFill>
            <a:round/>
          </a:ln>
          <a:effectLst/>
        </c:spPr>
        <c:marker>
          <c:symbol val="circle"/>
          <c:size val="5"/>
          <c:spPr>
            <a:solidFill>
              <a:srgbClr val="5C4A1E"/>
            </a:solidFill>
            <a:ln w="9525">
              <a:solidFill>
                <a:srgbClr val="5C4A1E"/>
              </a:solidFill>
            </a:ln>
            <a:effectLst/>
          </c:spPr>
        </c:marker>
        <c:dLbl>
          <c:idx val="0"/>
          <c:delete val="1"/>
          <c:extLst>
            <c:ext xmlns:c15="http://schemas.microsoft.com/office/drawing/2012/chart" uri="{CE6537A1-D6FC-4f65-9D91-7224C49458BB}"/>
          </c:extLst>
        </c:dLbl>
      </c:pivotFmt>
      <c:pivotFmt>
        <c:idx val="67"/>
        <c:spPr>
          <a:ln w="28575" cap="rnd">
            <a:solidFill>
              <a:schemeClr val="accent4">
                <a:lumMod val="50000"/>
              </a:schemeClr>
            </a:solidFill>
            <a:round/>
          </a:ln>
          <a:effectLst/>
        </c:spPr>
      </c:pivotFmt>
      <c:pivotFmt>
        <c:idx val="68"/>
        <c:spPr>
          <a:ln w="28575" cap="rnd">
            <a:solidFill>
              <a:schemeClr val="accent4">
                <a:lumMod val="50000"/>
              </a:schemeClr>
            </a:solidFill>
            <a:round/>
          </a:ln>
          <a:effectLst/>
        </c:spPr>
      </c:pivotFmt>
      <c:pivotFmt>
        <c:idx val="69"/>
        <c:spPr>
          <a:ln w="28575" cap="rnd">
            <a:solidFill>
              <a:schemeClr val="accent4">
                <a:lumMod val="50000"/>
              </a:schemeClr>
            </a:solidFill>
            <a:round/>
          </a:ln>
          <a:effectLst/>
        </c:spPr>
      </c:pivotFmt>
      <c:pivotFmt>
        <c:idx val="70"/>
        <c:spPr>
          <a:ln w="28575" cap="rnd">
            <a:solidFill>
              <a:schemeClr val="accent4">
                <a:lumMod val="50000"/>
              </a:schemeClr>
            </a:solidFill>
            <a:round/>
          </a:ln>
          <a:effectLst/>
        </c:spPr>
      </c:pivotFmt>
      <c:pivotFmt>
        <c:idx val="71"/>
        <c:spPr>
          <a:ln w="28575" cap="rnd">
            <a:solidFill>
              <a:schemeClr val="accent4">
                <a:lumMod val="50000"/>
              </a:schemeClr>
            </a:solidFill>
            <a:round/>
          </a:ln>
          <a:effectLst/>
        </c:spPr>
      </c:pivotFmt>
      <c:pivotFmt>
        <c:idx val="72"/>
        <c:spPr>
          <a:ln w="28575" cap="rnd">
            <a:solidFill>
              <a:schemeClr val="accent4">
                <a:lumMod val="50000"/>
              </a:schemeClr>
            </a:solidFill>
            <a:round/>
          </a:ln>
          <a:effectLst/>
        </c:spPr>
      </c:pivotFmt>
      <c:pivotFmt>
        <c:idx val="73"/>
        <c:spPr>
          <a:ln w="34925" cap="rnd">
            <a:solidFill>
              <a:schemeClr val="accent4">
                <a:lumMod val="50000"/>
              </a:schemeClr>
            </a:solidFill>
            <a:round/>
          </a:ln>
          <a:effectLst/>
        </c:spPr>
        <c:marker>
          <c:spPr>
            <a:solidFill>
              <a:srgbClr val="5C4A1E"/>
            </a:solidFill>
            <a:ln w="25400">
              <a:solidFill>
                <a:srgbClr val="5C4A1E"/>
              </a:solidFill>
            </a:ln>
            <a:effectLst/>
          </c:spPr>
        </c:marker>
      </c:pivotFmt>
      <c:pivotFmt>
        <c:idx val="74"/>
        <c:spPr>
          <a:ln w="28575" cap="rnd">
            <a:solidFill>
              <a:srgbClr val="5C4A1E"/>
            </a:solidFill>
            <a:round/>
          </a:ln>
          <a:effectLst/>
        </c:spPr>
        <c:marker>
          <c:symbol val="circle"/>
          <c:size val="5"/>
          <c:spPr>
            <a:solidFill>
              <a:srgbClr val="5C4A1E"/>
            </a:solidFill>
            <a:ln w="9525">
              <a:solidFill>
                <a:srgbClr val="5C4A1E"/>
              </a:solidFill>
            </a:ln>
            <a:effectLst/>
          </c:spPr>
        </c:marker>
        <c:dLbl>
          <c:idx val="0"/>
          <c:delete val="1"/>
          <c:extLst>
            <c:ext xmlns:c15="http://schemas.microsoft.com/office/drawing/2012/chart" uri="{CE6537A1-D6FC-4f65-9D91-7224C49458BB}"/>
          </c:extLst>
        </c:dLbl>
      </c:pivotFmt>
      <c:pivotFmt>
        <c:idx val="75"/>
        <c:spPr>
          <a:ln w="28575" cap="rnd">
            <a:solidFill>
              <a:schemeClr val="accent4">
                <a:lumMod val="50000"/>
              </a:schemeClr>
            </a:solidFill>
            <a:round/>
          </a:ln>
          <a:effectLst/>
        </c:spPr>
      </c:pivotFmt>
      <c:pivotFmt>
        <c:idx val="76"/>
        <c:spPr>
          <a:ln w="28575" cap="rnd">
            <a:solidFill>
              <a:schemeClr val="accent4">
                <a:lumMod val="50000"/>
              </a:schemeClr>
            </a:solidFill>
            <a:round/>
          </a:ln>
          <a:effectLst/>
        </c:spPr>
      </c:pivotFmt>
      <c:pivotFmt>
        <c:idx val="77"/>
        <c:spPr>
          <a:ln w="28575" cap="rnd">
            <a:solidFill>
              <a:schemeClr val="accent4">
                <a:lumMod val="50000"/>
              </a:schemeClr>
            </a:solidFill>
            <a:round/>
          </a:ln>
          <a:effectLst/>
        </c:spPr>
      </c:pivotFmt>
      <c:pivotFmt>
        <c:idx val="78"/>
        <c:spPr>
          <a:ln w="28575" cap="rnd">
            <a:solidFill>
              <a:schemeClr val="accent4">
                <a:lumMod val="50000"/>
              </a:schemeClr>
            </a:solidFill>
            <a:round/>
          </a:ln>
          <a:effectLst/>
        </c:spPr>
      </c:pivotFmt>
      <c:pivotFmt>
        <c:idx val="79"/>
        <c:spPr>
          <a:ln w="28575" cap="rnd">
            <a:solidFill>
              <a:schemeClr val="accent4">
                <a:lumMod val="50000"/>
              </a:schemeClr>
            </a:solidFill>
            <a:round/>
          </a:ln>
          <a:effectLst/>
        </c:spPr>
      </c:pivotFmt>
      <c:pivotFmt>
        <c:idx val="80"/>
        <c:spPr>
          <a:ln w="28575" cap="rnd">
            <a:solidFill>
              <a:schemeClr val="accent4">
                <a:lumMod val="50000"/>
              </a:schemeClr>
            </a:solidFill>
            <a:round/>
          </a:ln>
          <a:effectLst/>
        </c:spPr>
      </c:pivotFmt>
      <c:pivotFmt>
        <c:idx val="81"/>
        <c:spPr>
          <a:ln w="34925" cap="rnd">
            <a:solidFill>
              <a:schemeClr val="accent4">
                <a:lumMod val="50000"/>
              </a:schemeClr>
            </a:solidFill>
            <a:round/>
          </a:ln>
          <a:effectLst/>
        </c:spPr>
        <c:marker>
          <c:spPr>
            <a:solidFill>
              <a:srgbClr val="5C4A1E"/>
            </a:solidFill>
            <a:ln w="25400">
              <a:solidFill>
                <a:srgbClr val="5C4A1E"/>
              </a:solidFill>
            </a:ln>
            <a:effectLst/>
          </c:spPr>
        </c:marker>
      </c:pivotFmt>
      <c:pivotFmt>
        <c:idx val="82"/>
        <c:spPr>
          <a:ln w="28575" cap="rnd">
            <a:solidFill>
              <a:srgbClr val="5C4A1E"/>
            </a:solidFill>
            <a:round/>
          </a:ln>
          <a:effectLst/>
        </c:spPr>
        <c:marker>
          <c:symbol val="circle"/>
          <c:size val="5"/>
          <c:spPr>
            <a:solidFill>
              <a:srgbClr val="5C4A1E"/>
            </a:solidFill>
            <a:ln w="9525">
              <a:solidFill>
                <a:srgbClr val="5C4A1E"/>
              </a:solidFill>
            </a:ln>
            <a:effectLst/>
          </c:spPr>
        </c:marker>
        <c:dLbl>
          <c:idx val="0"/>
          <c:delete val="1"/>
          <c:extLst>
            <c:ext xmlns:c15="http://schemas.microsoft.com/office/drawing/2012/chart" uri="{CE6537A1-D6FC-4f65-9D91-7224C49458BB}"/>
          </c:extLst>
        </c:dLbl>
      </c:pivotFmt>
      <c:pivotFmt>
        <c:idx val="83"/>
        <c:spPr>
          <a:ln w="28575" cap="rnd">
            <a:solidFill>
              <a:schemeClr val="accent4">
                <a:lumMod val="50000"/>
              </a:schemeClr>
            </a:solidFill>
            <a:round/>
          </a:ln>
          <a:effectLst/>
        </c:spPr>
      </c:pivotFmt>
      <c:pivotFmt>
        <c:idx val="84"/>
        <c:spPr>
          <a:ln w="28575" cap="rnd">
            <a:solidFill>
              <a:schemeClr val="accent4">
                <a:lumMod val="50000"/>
              </a:schemeClr>
            </a:solidFill>
            <a:round/>
          </a:ln>
          <a:effectLst/>
        </c:spPr>
      </c:pivotFmt>
      <c:pivotFmt>
        <c:idx val="85"/>
        <c:spPr>
          <a:ln w="28575" cap="rnd">
            <a:solidFill>
              <a:schemeClr val="accent4">
                <a:lumMod val="50000"/>
              </a:schemeClr>
            </a:solidFill>
            <a:round/>
          </a:ln>
          <a:effectLst/>
        </c:spPr>
      </c:pivotFmt>
      <c:pivotFmt>
        <c:idx val="86"/>
        <c:spPr>
          <a:ln w="28575" cap="rnd">
            <a:solidFill>
              <a:schemeClr val="accent4">
                <a:lumMod val="50000"/>
              </a:schemeClr>
            </a:solidFill>
            <a:round/>
          </a:ln>
          <a:effectLst/>
        </c:spPr>
      </c:pivotFmt>
      <c:pivotFmt>
        <c:idx val="87"/>
        <c:spPr>
          <a:ln w="28575" cap="rnd">
            <a:solidFill>
              <a:schemeClr val="accent4">
                <a:lumMod val="50000"/>
              </a:schemeClr>
            </a:solidFill>
            <a:round/>
          </a:ln>
          <a:effectLst/>
        </c:spPr>
      </c:pivotFmt>
      <c:pivotFmt>
        <c:idx val="88"/>
        <c:spPr>
          <a:ln w="28575" cap="rnd">
            <a:solidFill>
              <a:schemeClr val="accent4">
                <a:lumMod val="50000"/>
              </a:schemeClr>
            </a:solidFill>
            <a:round/>
          </a:ln>
          <a:effectLst/>
        </c:spPr>
      </c:pivotFmt>
      <c:pivotFmt>
        <c:idx val="89"/>
        <c:spPr>
          <a:ln w="34925" cap="rnd">
            <a:solidFill>
              <a:schemeClr val="accent4">
                <a:lumMod val="50000"/>
              </a:schemeClr>
            </a:solidFill>
            <a:round/>
          </a:ln>
          <a:effectLst/>
        </c:spPr>
        <c:marker>
          <c:spPr>
            <a:solidFill>
              <a:srgbClr val="5C4A1E"/>
            </a:solidFill>
            <a:ln w="25400">
              <a:solidFill>
                <a:srgbClr val="5C4A1E"/>
              </a:solidFill>
            </a:ln>
            <a:effectLst/>
          </c:spPr>
        </c:marker>
      </c:pivotFmt>
      <c:pivotFmt>
        <c:idx val="90"/>
        <c:spPr>
          <a:ln w="28575" cap="rnd">
            <a:solidFill>
              <a:srgbClr val="5C4A1E"/>
            </a:solidFill>
            <a:round/>
          </a:ln>
          <a:effectLst/>
        </c:spPr>
        <c:marker>
          <c:symbol val="circle"/>
          <c:size val="5"/>
          <c:spPr>
            <a:solidFill>
              <a:srgbClr val="5C4A1E"/>
            </a:solidFill>
            <a:ln w="9525">
              <a:solidFill>
                <a:srgbClr val="5C4A1E"/>
              </a:solidFill>
            </a:ln>
            <a:effectLst/>
          </c:spPr>
        </c:marker>
        <c:dLbl>
          <c:idx val="0"/>
          <c:delete val="1"/>
          <c:extLst>
            <c:ext xmlns:c15="http://schemas.microsoft.com/office/drawing/2012/chart" uri="{CE6537A1-D6FC-4f65-9D91-7224C49458BB}"/>
          </c:extLst>
        </c:dLbl>
      </c:pivotFmt>
      <c:pivotFmt>
        <c:idx val="91"/>
        <c:spPr>
          <a:ln w="28575" cap="rnd">
            <a:solidFill>
              <a:schemeClr val="accent4">
                <a:lumMod val="50000"/>
              </a:schemeClr>
            </a:solidFill>
            <a:round/>
          </a:ln>
          <a:effectLst/>
        </c:spPr>
      </c:pivotFmt>
      <c:pivotFmt>
        <c:idx val="92"/>
        <c:spPr>
          <a:ln w="28575" cap="rnd">
            <a:solidFill>
              <a:schemeClr val="accent4">
                <a:lumMod val="50000"/>
              </a:schemeClr>
            </a:solidFill>
            <a:round/>
          </a:ln>
          <a:effectLst/>
        </c:spPr>
      </c:pivotFmt>
      <c:pivotFmt>
        <c:idx val="93"/>
        <c:spPr>
          <a:ln w="28575" cap="rnd">
            <a:solidFill>
              <a:schemeClr val="accent4">
                <a:lumMod val="50000"/>
              </a:schemeClr>
            </a:solidFill>
            <a:round/>
          </a:ln>
          <a:effectLst/>
        </c:spPr>
      </c:pivotFmt>
      <c:pivotFmt>
        <c:idx val="94"/>
        <c:spPr>
          <a:ln w="28575" cap="rnd">
            <a:solidFill>
              <a:schemeClr val="accent4">
                <a:lumMod val="50000"/>
              </a:schemeClr>
            </a:solidFill>
            <a:round/>
          </a:ln>
          <a:effectLst/>
        </c:spPr>
      </c:pivotFmt>
      <c:pivotFmt>
        <c:idx val="95"/>
        <c:spPr>
          <a:ln w="28575" cap="rnd">
            <a:solidFill>
              <a:schemeClr val="accent4">
                <a:lumMod val="50000"/>
              </a:schemeClr>
            </a:solidFill>
            <a:round/>
          </a:ln>
          <a:effectLst/>
        </c:spPr>
      </c:pivotFmt>
      <c:pivotFmt>
        <c:idx val="96"/>
        <c:spPr>
          <a:ln w="28575" cap="rnd">
            <a:solidFill>
              <a:schemeClr val="accent4">
                <a:lumMod val="50000"/>
              </a:schemeClr>
            </a:solidFill>
            <a:round/>
          </a:ln>
          <a:effectLst/>
        </c:spPr>
      </c:pivotFmt>
      <c:pivotFmt>
        <c:idx val="97"/>
        <c:spPr>
          <a:ln w="34925" cap="rnd">
            <a:solidFill>
              <a:schemeClr val="accent4">
                <a:lumMod val="50000"/>
              </a:schemeClr>
            </a:solidFill>
            <a:round/>
          </a:ln>
          <a:effectLst/>
        </c:spPr>
        <c:marker>
          <c:spPr>
            <a:solidFill>
              <a:srgbClr val="5C4A1E"/>
            </a:solidFill>
            <a:ln w="25400">
              <a:solidFill>
                <a:srgbClr val="5C4A1E"/>
              </a:solidFill>
            </a:ln>
            <a:effectLst/>
          </c:spPr>
        </c:marker>
      </c:pivotFmt>
      <c:pivotFmt>
        <c:idx val="98"/>
        <c:spPr>
          <a:ln w="28575" cap="rnd">
            <a:solidFill>
              <a:srgbClr val="5C4A1E"/>
            </a:solidFill>
            <a:round/>
          </a:ln>
          <a:effectLst/>
        </c:spPr>
        <c:marker>
          <c:symbol val="circle"/>
          <c:size val="5"/>
          <c:spPr>
            <a:solidFill>
              <a:srgbClr val="5C4A1E"/>
            </a:solidFill>
            <a:ln w="9525">
              <a:solidFill>
                <a:srgbClr val="5C4A1E"/>
              </a:solidFill>
            </a:ln>
            <a:effectLst/>
          </c:spPr>
        </c:marker>
        <c:dLbl>
          <c:idx val="0"/>
          <c:delete val="1"/>
          <c:extLst>
            <c:ext xmlns:c15="http://schemas.microsoft.com/office/drawing/2012/chart" uri="{CE6537A1-D6FC-4f65-9D91-7224C49458BB}"/>
          </c:extLst>
        </c:dLbl>
      </c:pivotFmt>
      <c:pivotFmt>
        <c:idx val="99"/>
        <c:spPr>
          <a:ln w="28575" cap="rnd">
            <a:solidFill>
              <a:schemeClr val="accent4">
                <a:lumMod val="50000"/>
              </a:schemeClr>
            </a:solidFill>
            <a:round/>
          </a:ln>
          <a:effectLst/>
        </c:spPr>
      </c:pivotFmt>
      <c:pivotFmt>
        <c:idx val="100"/>
        <c:spPr>
          <a:ln w="28575" cap="rnd">
            <a:solidFill>
              <a:schemeClr val="accent4">
                <a:lumMod val="50000"/>
              </a:schemeClr>
            </a:solidFill>
            <a:round/>
          </a:ln>
          <a:effectLst/>
        </c:spPr>
      </c:pivotFmt>
      <c:pivotFmt>
        <c:idx val="101"/>
        <c:spPr>
          <a:ln w="28575" cap="rnd">
            <a:solidFill>
              <a:schemeClr val="accent4">
                <a:lumMod val="50000"/>
              </a:schemeClr>
            </a:solidFill>
            <a:round/>
          </a:ln>
          <a:effectLst/>
        </c:spPr>
      </c:pivotFmt>
      <c:pivotFmt>
        <c:idx val="102"/>
        <c:spPr>
          <a:ln w="28575" cap="rnd">
            <a:solidFill>
              <a:schemeClr val="accent4">
                <a:lumMod val="50000"/>
              </a:schemeClr>
            </a:solidFill>
            <a:round/>
          </a:ln>
          <a:effectLst/>
        </c:spPr>
      </c:pivotFmt>
      <c:pivotFmt>
        <c:idx val="103"/>
        <c:spPr>
          <a:ln w="28575" cap="rnd">
            <a:solidFill>
              <a:schemeClr val="accent4">
                <a:lumMod val="50000"/>
              </a:schemeClr>
            </a:solidFill>
            <a:round/>
          </a:ln>
          <a:effectLst/>
        </c:spPr>
      </c:pivotFmt>
      <c:pivotFmt>
        <c:idx val="104"/>
        <c:spPr>
          <a:ln w="28575" cap="rnd">
            <a:solidFill>
              <a:schemeClr val="accent4">
                <a:lumMod val="50000"/>
              </a:schemeClr>
            </a:solidFill>
            <a:round/>
          </a:ln>
          <a:effectLst/>
        </c:spPr>
      </c:pivotFmt>
      <c:pivotFmt>
        <c:idx val="105"/>
        <c:spPr>
          <a:ln w="34925" cap="rnd">
            <a:solidFill>
              <a:schemeClr val="accent4">
                <a:lumMod val="50000"/>
              </a:schemeClr>
            </a:solidFill>
            <a:round/>
          </a:ln>
          <a:effectLst/>
        </c:spPr>
        <c:marker>
          <c:spPr>
            <a:solidFill>
              <a:srgbClr val="5C4A1E"/>
            </a:solidFill>
            <a:ln w="25400">
              <a:solidFill>
                <a:srgbClr val="5C4A1E"/>
              </a:solidFill>
            </a:ln>
            <a:effectLst/>
          </c:spPr>
        </c:marker>
      </c:pivotFmt>
      <c:pivotFmt>
        <c:idx val="106"/>
        <c:spPr>
          <a:ln w="28575" cap="rnd">
            <a:solidFill>
              <a:srgbClr val="5C4A1E"/>
            </a:solidFill>
            <a:round/>
          </a:ln>
          <a:effectLst/>
        </c:spPr>
        <c:marker>
          <c:symbol val="circle"/>
          <c:size val="5"/>
          <c:spPr>
            <a:solidFill>
              <a:srgbClr val="5C4A1E"/>
            </a:solidFill>
            <a:ln w="9525">
              <a:solidFill>
                <a:srgbClr val="5C4A1E"/>
              </a:solidFill>
            </a:ln>
            <a:effectLst/>
          </c:spPr>
        </c:marker>
        <c:dLbl>
          <c:idx val="0"/>
          <c:delete val="1"/>
          <c:extLst>
            <c:ext xmlns:c15="http://schemas.microsoft.com/office/drawing/2012/chart" uri="{CE6537A1-D6FC-4f65-9D91-7224C49458BB}"/>
          </c:extLst>
        </c:dLbl>
      </c:pivotFmt>
      <c:pivotFmt>
        <c:idx val="107"/>
        <c:spPr>
          <a:ln w="28575" cap="rnd">
            <a:solidFill>
              <a:schemeClr val="accent4">
                <a:lumMod val="50000"/>
              </a:schemeClr>
            </a:solidFill>
            <a:round/>
          </a:ln>
          <a:effectLst/>
        </c:spPr>
      </c:pivotFmt>
      <c:pivotFmt>
        <c:idx val="108"/>
        <c:spPr>
          <a:ln w="28575" cap="rnd">
            <a:solidFill>
              <a:schemeClr val="accent4">
                <a:lumMod val="50000"/>
              </a:schemeClr>
            </a:solidFill>
            <a:round/>
          </a:ln>
          <a:effectLst/>
        </c:spPr>
      </c:pivotFmt>
      <c:pivotFmt>
        <c:idx val="109"/>
        <c:spPr>
          <a:ln w="28575" cap="rnd">
            <a:solidFill>
              <a:schemeClr val="accent4">
                <a:lumMod val="50000"/>
              </a:schemeClr>
            </a:solidFill>
            <a:round/>
          </a:ln>
          <a:effectLst/>
        </c:spPr>
      </c:pivotFmt>
      <c:pivotFmt>
        <c:idx val="110"/>
        <c:spPr>
          <a:ln w="28575" cap="rnd">
            <a:solidFill>
              <a:schemeClr val="accent4">
                <a:lumMod val="50000"/>
              </a:schemeClr>
            </a:solidFill>
            <a:round/>
          </a:ln>
          <a:effectLst/>
        </c:spPr>
      </c:pivotFmt>
      <c:pivotFmt>
        <c:idx val="111"/>
        <c:spPr>
          <a:ln w="28575" cap="rnd">
            <a:solidFill>
              <a:schemeClr val="accent4">
                <a:lumMod val="50000"/>
              </a:schemeClr>
            </a:solidFill>
            <a:round/>
          </a:ln>
          <a:effectLst/>
        </c:spPr>
      </c:pivotFmt>
      <c:pivotFmt>
        <c:idx val="112"/>
        <c:spPr>
          <a:ln w="28575" cap="rnd">
            <a:solidFill>
              <a:schemeClr val="accent4">
                <a:lumMod val="50000"/>
              </a:schemeClr>
            </a:solidFill>
            <a:round/>
          </a:ln>
          <a:effectLst/>
        </c:spPr>
      </c:pivotFmt>
      <c:pivotFmt>
        <c:idx val="113"/>
        <c:spPr>
          <a:ln w="34925" cap="rnd">
            <a:solidFill>
              <a:schemeClr val="accent4">
                <a:lumMod val="50000"/>
              </a:schemeClr>
            </a:solidFill>
            <a:round/>
          </a:ln>
          <a:effectLst/>
        </c:spPr>
        <c:marker>
          <c:spPr>
            <a:solidFill>
              <a:srgbClr val="5C4A1E"/>
            </a:solidFill>
            <a:ln w="25400">
              <a:solidFill>
                <a:srgbClr val="5C4A1E"/>
              </a:solidFill>
            </a:ln>
            <a:effectLst/>
          </c:spPr>
        </c:marker>
      </c:pivotFmt>
    </c:pivotFmts>
    <c:plotArea>
      <c:layout/>
      <c:lineChart>
        <c:grouping val="standard"/>
        <c:varyColors val="0"/>
        <c:ser>
          <c:idx val="0"/>
          <c:order val="0"/>
          <c:tx>
            <c:strRef>
              <c:f>Pivot_Table!$B$2</c:f>
              <c:strCache>
                <c:ptCount val="1"/>
                <c:pt idx="0">
                  <c:v>Total</c:v>
                </c:pt>
              </c:strCache>
            </c:strRef>
          </c:tx>
          <c:spPr>
            <a:ln w="28575" cap="rnd">
              <a:solidFill>
                <a:srgbClr val="5C4A1E"/>
              </a:solidFill>
              <a:round/>
            </a:ln>
            <a:effectLst/>
          </c:spPr>
          <c:marker>
            <c:symbol val="circle"/>
            <c:size val="5"/>
            <c:spPr>
              <a:solidFill>
                <a:srgbClr val="5C4A1E"/>
              </a:solidFill>
              <a:ln w="9525">
                <a:solidFill>
                  <a:srgbClr val="5C4A1E"/>
                </a:solidFill>
              </a:ln>
              <a:effectLst/>
            </c:spPr>
          </c:marker>
          <c:dPt>
            <c:idx val="1"/>
            <c:bubble3D val="0"/>
            <c:spPr>
              <a:ln w="28575" cap="rnd">
                <a:solidFill>
                  <a:schemeClr val="accent4">
                    <a:lumMod val="50000"/>
                  </a:schemeClr>
                </a:solidFill>
                <a:round/>
              </a:ln>
              <a:effectLst/>
            </c:spPr>
            <c:extLst>
              <c:ext xmlns:c16="http://schemas.microsoft.com/office/drawing/2014/chart" uri="{C3380CC4-5D6E-409C-BE32-E72D297353CC}">
                <c16:uniqueId val="{00000001-8725-4C3C-91CC-081523E2A073}"/>
              </c:ext>
            </c:extLst>
          </c:dPt>
          <c:dPt>
            <c:idx val="2"/>
            <c:bubble3D val="0"/>
            <c:spPr>
              <a:ln w="28575" cap="rnd">
                <a:solidFill>
                  <a:schemeClr val="accent4">
                    <a:lumMod val="50000"/>
                  </a:schemeClr>
                </a:solidFill>
                <a:round/>
              </a:ln>
              <a:effectLst/>
            </c:spPr>
            <c:extLst>
              <c:ext xmlns:c16="http://schemas.microsoft.com/office/drawing/2014/chart" uri="{C3380CC4-5D6E-409C-BE32-E72D297353CC}">
                <c16:uniqueId val="{00000003-8725-4C3C-91CC-081523E2A073}"/>
              </c:ext>
            </c:extLst>
          </c:dPt>
          <c:dPt>
            <c:idx val="3"/>
            <c:bubble3D val="0"/>
            <c:spPr>
              <a:ln w="28575" cap="rnd">
                <a:solidFill>
                  <a:schemeClr val="accent4">
                    <a:lumMod val="50000"/>
                  </a:schemeClr>
                </a:solidFill>
                <a:round/>
              </a:ln>
              <a:effectLst/>
            </c:spPr>
            <c:extLst>
              <c:ext xmlns:c16="http://schemas.microsoft.com/office/drawing/2014/chart" uri="{C3380CC4-5D6E-409C-BE32-E72D297353CC}">
                <c16:uniqueId val="{00000005-8725-4C3C-91CC-081523E2A073}"/>
              </c:ext>
            </c:extLst>
          </c:dPt>
          <c:dPt>
            <c:idx val="4"/>
            <c:bubble3D val="0"/>
            <c:spPr>
              <a:ln w="28575" cap="rnd">
                <a:solidFill>
                  <a:schemeClr val="accent4">
                    <a:lumMod val="50000"/>
                  </a:schemeClr>
                </a:solidFill>
                <a:round/>
              </a:ln>
              <a:effectLst/>
            </c:spPr>
            <c:extLst>
              <c:ext xmlns:c16="http://schemas.microsoft.com/office/drawing/2014/chart" uri="{C3380CC4-5D6E-409C-BE32-E72D297353CC}">
                <c16:uniqueId val="{00000007-8725-4C3C-91CC-081523E2A073}"/>
              </c:ext>
            </c:extLst>
          </c:dPt>
          <c:dPt>
            <c:idx val="5"/>
            <c:bubble3D val="0"/>
            <c:spPr>
              <a:ln w="28575" cap="rnd">
                <a:solidFill>
                  <a:schemeClr val="accent4">
                    <a:lumMod val="50000"/>
                  </a:schemeClr>
                </a:solidFill>
                <a:round/>
              </a:ln>
              <a:effectLst/>
            </c:spPr>
            <c:extLst>
              <c:ext xmlns:c16="http://schemas.microsoft.com/office/drawing/2014/chart" uri="{C3380CC4-5D6E-409C-BE32-E72D297353CC}">
                <c16:uniqueId val="{00000009-8725-4C3C-91CC-081523E2A073}"/>
              </c:ext>
            </c:extLst>
          </c:dPt>
          <c:dPt>
            <c:idx val="6"/>
            <c:bubble3D val="0"/>
            <c:spPr>
              <a:ln w="28575" cap="rnd">
                <a:solidFill>
                  <a:schemeClr val="accent4">
                    <a:lumMod val="50000"/>
                  </a:schemeClr>
                </a:solidFill>
                <a:round/>
              </a:ln>
              <a:effectLst/>
            </c:spPr>
            <c:extLst>
              <c:ext xmlns:c16="http://schemas.microsoft.com/office/drawing/2014/chart" uri="{C3380CC4-5D6E-409C-BE32-E72D297353CC}">
                <c16:uniqueId val="{0000000B-8725-4C3C-91CC-081523E2A073}"/>
              </c:ext>
            </c:extLst>
          </c:dPt>
          <c:dPt>
            <c:idx val="7"/>
            <c:marker>
              <c:spPr>
                <a:solidFill>
                  <a:srgbClr val="5C4A1E"/>
                </a:solidFill>
                <a:ln w="25400">
                  <a:solidFill>
                    <a:srgbClr val="5C4A1E"/>
                  </a:solidFill>
                </a:ln>
                <a:effectLst/>
              </c:spPr>
            </c:marker>
            <c:bubble3D val="0"/>
            <c:spPr>
              <a:ln w="34925" cap="rnd">
                <a:solidFill>
                  <a:schemeClr val="accent4">
                    <a:lumMod val="50000"/>
                  </a:schemeClr>
                </a:solidFill>
                <a:round/>
              </a:ln>
              <a:effectLst/>
            </c:spPr>
            <c:extLst>
              <c:ext xmlns:c16="http://schemas.microsoft.com/office/drawing/2014/chart" uri="{C3380CC4-5D6E-409C-BE32-E72D297353CC}">
                <c16:uniqueId val="{0000000D-8725-4C3C-91CC-081523E2A073}"/>
              </c:ext>
            </c:extLst>
          </c:dPt>
          <c:cat>
            <c:strRef>
              <c:f>Pivot_Table!$A$3:$A$11</c:f>
              <c:strCache>
                <c:ptCount val="8"/>
                <c:pt idx="0">
                  <c:v>Jan</c:v>
                </c:pt>
                <c:pt idx="1">
                  <c:v>Feb</c:v>
                </c:pt>
                <c:pt idx="2">
                  <c:v>Mar</c:v>
                </c:pt>
                <c:pt idx="3">
                  <c:v>Apr</c:v>
                </c:pt>
                <c:pt idx="4">
                  <c:v>May</c:v>
                </c:pt>
                <c:pt idx="5">
                  <c:v>Jun</c:v>
                </c:pt>
                <c:pt idx="6">
                  <c:v>Jul</c:v>
                </c:pt>
                <c:pt idx="7">
                  <c:v>Aug</c:v>
                </c:pt>
              </c:strCache>
            </c:strRef>
          </c:cat>
          <c:val>
            <c:numRef>
              <c:f>Pivot_Table!$B$3:$B$11</c:f>
              <c:numCache>
                <c:formatCode>_("$"* #,##0_);_("$"* \(#,##0\);_("$"* "-"??_);_(@_)</c:formatCode>
                <c:ptCount val="8"/>
                <c:pt idx="0">
                  <c:v>2015.4799999999996</c:v>
                </c:pt>
                <c:pt idx="1">
                  <c:v>2598.7199999999993</c:v>
                </c:pt>
                <c:pt idx="2">
                  <c:v>3237.4300000000003</c:v>
                </c:pt>
                <c:pt idx="3">
                  <c:v>2576.14</c:v>
                </c:pt>
                <c:pt idx="4">
                  <c:v>2622.5299999999993</c:v>
                </c:pt>
                <c:pt idx="5">
                  <c:v>2602.6</c:v>
                </c:pt>
                <c:pt idx="6">
                  <c:v>3313.6400000000003</c:v>
                </c:pt>
                <c:pt idx="7">
                  <c:v>1056.5999999999999</c:v>
                </c:pt>
              </c:numCache>
            </c:numRef>
          </c:val>
          <c:smooth val="0"/>
          <c:extLst>
            <c:ext xmlns:c16="http://schemas.microsoft.com/office/drawing/2014/chart" uri="{C3380CC4-5D6E-409C-BE32-E72D297353CC}">
              <c16:uniqueId val="{0000000E-8725-4C3C-91CC-081523E2A073}"/>
            </c:ext>
          </c:extLst>
        </c:ser>
        <c:dLbls>
          <c:showLegendKey val="0"/>
          <c:showVal val="0"/>
          <c:showCatName val="0"/>
          <c:showSerName val="0"/>
          <c:showPercent val="0"/>
          <c:showBubbleSize val="0"/>
        </c:dLbls>
        <c:marker val="1"/>
        <c:smooth val="0"/>
        <c:axId val="1762805439"/>
        <c:axId val="1762807359"/>
      </c:lineChart>
      <c:catAx>
        <c:axId val="1762805439"/>
        <c:scaling>
          <c:orientation val="minMax"/>
        </c:scaling>
        <c:delete val="0"/>
        <c:axPos val="b"/>
        <c:numFmt formatCode="General" sourceLinked="1"/>
        <c:majorTickMark val="none"/>
        <c:minorTickMark val="none"/>
        <c:tickLblPos val="nextTo"/>
        <c:spPr>
          <a:noFill/>
          <a:ln w="9525" cap="flat" cmpd="sng" algn="ctr">
            <a:solidFill>
              <a:schemeClr val="accent4">
                <a:lumMod val="50000"/>
              </a:schemeClr>
            </a:solidFill>
            <a:round/>
          </a:ln>
          <a:effectLst/>
        </c:spPr>
        <c:txPr>
          <a:bodyPr rot="-60000000" spcFirstLastPara="1" vertOverflow="ellipsis" vert="horz" wrap="square" anchor="ctr" anchorCtr="1"/>
          <a:lstStyle/>
          <a:p>
            <a:pPr>
              <a:defRPr sz="700" b="0" i="0" u="none" strike="noStrike" kern="1200" baseline="0">
                <a:ln>
                  <a:noFill/>
                </a:ln>
                <a:solidFill>
                  <a:srgbClr val="7A6230"/>
                </a:solidFill>
                <a:latin typeface="+mn-lt"/>
                <a:ea typeface="+mn-ea"/>
                <a:cs typeface="+mn-cs"/>
              </a:defRPr>
            </a:pPr>
            <a:endParaRPr lang="en-US"/>
          </a:p>
        </c:txPr>
        <c:crossAx val="1762807359"/>
        <c:crosses val="autoZero"/>
        <c:auto val="1"/>
        <c:lblAlgn val="ctr"/>
        <c:lblOffset val="100"/>
        <c:noMultiLvlLbl val="0"/>
      </c:catAx>
      <c:valAx>
        <c:axId val="1762807359"/>
        <c:scaling>
          <c:orientation val="minMax"/>
        </c:scaling>
        <c:delete val="1"/>
        <c:axPos val="l"/>
        <c:numFmt formatCode="_(&quot;$&quot;* #,##0_);_(&quot;$&quot;* \(#,##0\);_(&quot;$&quot;* &quot;-&quot;??_);_(@_)" sourceLinked="1"/>
        <c:majorTickMark val="none"/>
        <c:minorTickMark val="none"/>
        <c:tickLblPos val="nextTo"/>
        <c:crossAx val="1762805439"/>
        <c:crosses val="autoZero"/>
        <c:crossBetween val="between"/>
      </c:valAx>
    </c:plotArea>
    <c:plotVisOnly val="1"/>
    <c:dispBlanksAs val="gap"/>
    <c:showDLblsOverMax val="0"/>
    <c:extLst/>
  </c:chart>
  <c:spPr>
    <a:solidFill>
      <a:srgbClr val="FFFFFF"/>
    </a:solidFill>
    <a:ln w="9525" cap="flat" cmpd="sng" algn="ctr">
      <a:solidFill>
        <a:schemeClr val="accent4">
          <a:lumMod val="50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[Restaurant.xlsx]Pivot_Table!PivotTable11</c:name>
    <c:fmtId val="19"/>
  </c:pivotSource>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r>
              <a:rPr lang="en-US" sz="800" b="1">
                <a:solidFill>
                  <a:schemeClr val="accent4">
                    <a:lumMod val="50000"/>
                  </a:schemeClr>
                </a:solidFill>
              </a:rPr>
              <a:t>Sales</a:t>
            </a:r>
            <a:r>
              <a:rPr lang="en-US" sz="800" b="1" baseline="0">
                <a:solidFill>
                  <a:schemeClr val="accent4">
                    <a:lumMod val="50000"/>
                  </a:schemeClr>
                </a:solidFill>
              </a:rPr>
              <a:t> by category</a:t>
            </a:r>
            <a:endParaRPr lang="en-US" sz="800" b="1">
              <a:solidFill>
                <a:schemeClr val="accent4">
                  <a:lumMod val="50000"/>
                </a:schemeClr>
              </a:solidFill>
            </a:endParaRPr>
          </a:p>
        </c:rich>
      </c:tx>
      <c:layout>
        <c:manualLayout>
          <c:xMode val="edge"/>
          <c:yMode val="edge"/>
          <c:x val="3.4791029623439627E-2"/>
          <c:y val="4.4347807868069349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9E7F3F"/>
          </a:solidFill>
          <a:ln w="19050">
            <a:solidFill>
              <a:schemeClr val="lt1"/>
            </a:solidFill>
          </a:ln>
          <a:effectLst/>
        </c:spPr>
        <c:dLbl>
          <c:idx val="0"/>
          <c:layout>
            <c:manualLayout>
              <c:x val="0.46381609918121286"/>
              <c:y val="-9.8550684151265215E-3"/>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fld id="{E61BB869-0F87-4410-A4FA-FA277D753E33}" type="VALUE">
                  <a:rPr lang="en-US"/>
                  <a:pPr>
                    <a:defRPr sz="1100" b="0" i="0" u="none" strike="noStrike" kern="1200" baseline="0">
                      <a:solidFill>
                        <a:srgbClr val="7A6230"/>
                      </a:solidFill>
                      <a:latin typeface="+mn-lt"/>
                      <a:ea typeface="+mn-ea"/>
                      <a:cs typeface="+mn-cs"/>
                    </a:defRPr>
                  </a:pPr>
                  <a:t>[VALUE]</a:t>
                </a:fld>
                <a:r>
                  <a:rPr lang="en-US" baseline="0"/>
                  <a:t>, (</a:t>
                </a:r>
                <a:fld id="{B3A3B48A-AFB8-43FA-9600-A90E910294A2}" type="PERCENTAGE">
                  <a:rPr lang="en-US" baseline="0"/>
                  <a:pPr>
                    <a:defRPr sz="1100" b="0" i="0" u="none" strike="noStrike" kern="1200" baseline="0">
                      <a:solidFill>
                        <a:srgbClr val="7A6230"/>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327763955306341"/>
                  <c:h val="0.14713617143783897"/>
                </c:manualLayout>
              </c15:layout>
              <c15:dlblFieldTable/>
              <c15:showDataLabelsRange val="0"/>
            </c:ext>
          </c:extLst>
        </c:dLbl>
      </c:pivotFmt>
      <c:pivotFmt>
        <c:idx val="7"/>
        <c:spPr>
          <a:solidFill>
            <a:srgbClr val="5C4A1E"/>
          </a:solidFill>
          <a:ln w="19050">
            <a:solidFill>
              <a:schemeClr val="lt1"/>
            </a:solidFill>
          </a:ln>
          <a:effectLst/>
        </c:spPr>
        <c:dLbl>
          <c:idx val="0"/>
          <c:layout>
            <c:manualLayout>
              <c:x val="0.56320103331502147"/>
              <c:y val="-0.21188397092522029"/>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fld id="{974BDD0F-4BD0-40F9-9120-FD1F3690298A}" type="VALUE">
                  <a:rPr lang="en-US"/>
                  <a:pPr>
                    <a:defRPr sz="1100" b="0" i="0" u="none" strike="noStrike" kern="1200" baseline="0">
                      <a:solidFill>
                        <a:srgbClr val="7A6230"/>
                      </a:solidFill>
                      <a:latin typeface="+mn-lt"/>
                      <a:ea typeface="+mn-ea"/>
                      <a:cs typeface="+mn-cs"/>
                    </a:defRPr>
                  </a:pPr>
                  <a:t>[VALUE]</a:t>
                </a:fld>
                <a:r>
                  <a:rPr lang="en-US" baseline="0"/>
                  <a:t>, (</a:t>
                </a:r>
                <a:fld id="{016F2FC6-BB3C-4E35-9CB4-4C942EF8DC1C}" type="PERCENTAGE">
                  <a:rPr lang="en-US" baseline="0"/>
                  <a:pPr>
                    <a:defRPr sz="1100" b="0" i="0" u="none" strike="noStrike" kern="1200" baseline="0">
                      <a:solidFill>
                        <a:srgbClr val="7A6230"/>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330075159858995"/>
                  <c:h val="0.14713617143783897"/>
                </c:manualLayout>
              </c15:layout>
              <c15:dlblFieldTable/>
              <c15:showDataLabelsRange val="0"/>
            </c:ext>
          </c:extLst>
        </c:dLbl>
      </c:pivotFmt>
      <c:pivotFmt>
        <c:idx val="8"/>
        <c:spPr>
          <a:solidFill>
            <a:srgbClr val="C4A45A"/>
          </a:solidFill>
          <a:ln w="19050">
            <a:solidFill>
              <a:schemeClr val="lt1"/>
            </a:solidFill>
          </a:ln>
          <a:effectLst/>
        </c:spPr>
        <c:dLbl>
          <c:idx val="0"/>
          <c:layout>
            <c:manualLayout>
              <c:x val="0.71937012648721199"/>
              <c:y val="0.25623177879328946"/>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fld id="{D0CE320B-47DA-4449-B6AD-23CCD73F6726}" type="VALUE">
                  <a:rPr lang="en-US"/>
                  <a:pPr>
                    <a:defRPr sz="1100" b="0" i="0" u="none" strike="noStrike" kern="1200" baseline="0">
                      <a:solidFill>
                        <a:srgbClr val="7A6230"/>
                      </a:solidFill>
                      <a:latin typeface="+mn-lt"/>
                      <a:ea typeface="+mn-ea"/>
                      <a:cs typeface="+mn-cs"/>
                    </a:defRPr>
                  </a:pPr>
                  <a:t>[VALUE]</a:t>
                </a:fld>
                <a:r>
                  <a:rPr lang="en-US" baseline="0"/>
                  <a:t>, (</a:t>
                </a:r>
                <a:fld id="{A745C724-96DB-439D-973D-5894648ABC37}" type="PERCENTAGE">
                  <a:rPr lang="en-US" baseline="0"/>
                  <a:pPr>
                    <a:defRPr sz="1100" b="0" i="0" u="none" strike="noStrike" kern="1200" baseline="0">
                      <a:solidFill>
                        <a:srgbClr val="7A6230"/>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716415829063101"/>
                  <c:h val="0.14713617143783897"/>
                </c:manualLayout>
              </c15:layout>
              <c15:dlblFieldTable/>
              <c15:showDataLabelsRange val="0"/>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rgbClr val="9E7F3F"/>
          </a:solidFill>
          <a:ln w="19050">
            <a:solidFill>
              <a:schemeClr val="lt1"/>
            </a:solidFill>
          </a:ln>
          <a:effectLst/>
        </c:spPr>
        <c:dLbl>
          <c:idx val="0"/>
          <c:layout>
            <c:manualLayout>
              <c:x val="0.46381609918121286"/>
              <c:y val="-9.8550684151265215E-3"/>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fld id="{E61BB869-0F87-4410-A4FA-FA277D753E33}" type="VALUE">
                  <a:rPr lang="en-US"/>
                  <a:pPr>
                    <a:defRPr sz="1100" b="0" i="0" u="none" strike="noStrike" kern="1200" baseline="0">
                      <a:solidFill>
                        <a:srgbClr val="7A6230"/>
                      </a:solidFill>
                      <a:latin typeface="+mn-lt"/>
                      <a:ea typeface="+mn-ea"/>
                      <a:cs typeface="+mn-cs"/>
                    </a:defRPr>
                  </a:pPr>
                  <a:t>[VALUE]</a:t>
                </a:fld>
                <a:r>
                  <a:rPr lang="en-US" baseline="0"/>
                  <a:t>, (</a:t>
                </a:r>
                <a:fld id="{B3A3B48A-AFB8-43FA-9600-A90E910294A2}" type="PERCENTAGE">
                  <a:rPr lang="en-US" baseline="0"/>
                  <a:pPr>
                    <a:defRPr sz="1100" b="0" i="0" u="none" strike="noStrike" kern="1200" baseline="0">
                      <a:solidFill>
                        <a:srgbClr val="7A6230"/>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327763955306341"/>
                  <c:h val="0.14713617143783897"/>
                </c:manualLayout>
              </c15:layout>
              <c15:dlblFieldTable/>
              <c15:showDataLabelsRange val="0"/>
            </c:ext>
          </c:extLst>
        </c:dLbl>
      </c:pivotFmt>
      <c:pivotFmt>
        <c:idx val="11"/>
        <c:spPr>
          <a:solidFill>
            <a:srgbClr val="5C4A1E"/>
          </a:solidFill>
          <a:ln w="19050">
            <a:solidFill>
              <a:schemeClr val="lt1"/>
            </a:solidFill>
          </a:ln>
          <a:effectLst/>
        </c:spPr>
        <c:dLbl>
          <c:idx val="0"/>
          <c:layout>
            <c:manualLayout>
              <c:x val="0.56320103331502147"/>
              <c:y val="-0.21188397092522029"/>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fld id="{974BDD0F-4BD0-40F9-9120-FD1F3690298A}" type="VALUE">
                  <a:rPr lang="en-US"/>
                  <a:pPr>
                    <a:defRPr sz="1100" b="0" i="0" u="none" strike="noStrike" kern="1200" baseline="0">
                      <a:solidFill>
                        <a:srgbClr val="7A6230"/>
                      </a:solidFill>
                      <a:latin typeface="+mn-lt"/>
                      <a:ea typeface="+mn-ea"/>
                      <a:cs typeface="+mn-cs"/>
                    </a:defRPr>
                  </a:pPr>
                  <a:t>[VALUE]</a:t>
                </a:fld>
                <a:r>
                  <a:rPr lang="en-US" baseline="0"/>
                  <a:t>, (</a:t>
                </a:r>
                <a:fld id="{016F2FC6-BB3C-4E35-9CB4-4C942EF8DC1C}" type="PERCENTAGE">
                  <a:rPr lang="en-US" baseline="0"/>
                  <a:pPr>
                    <a:defRPr sz="1100" b="0" i="0" u="none" strike="noStrike" kern="1200" baseline="0">
                      <a:solidFill>
                        <a:srgbClr val="7A6230"/>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330075159858995"/>
                  <c:h val="0.14713617143783897"/>
                </c:manualLayout>
              </c15:layout>
              <c15:dlblFieldTable/>
              <c15:showDataLabelsRange val="0"/>
            </c:ext>
          </c:extLst>
        </c:dLbl>
      </c:pivotFmt>
      <c:pivotFmt>
        <c:idx val="12"/>
        <c:spPr>
          <a:solidFill>
            <a:srgbClr val="C4A45A"/>
          </a:solidFill>
          <a:ln w="19050">
            <a:solidFill>
              <a:schemeClr val="lt1"/>
            </a:solidFill>
          </a:ln>
          <a:effectLst/>
        </c:spPr>
        <c:dLbl>
          <c:idx val="0"/>
          <c:layout>
            <c:manualLayout>
              <c:x val="0.71937012648721199"/>
              <c:y val="0.25623177879328946"/>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fld id="{D0CE320B-47DA-4449-B6AD-23CCD73F6726}" type="VALUE">
                  <a:rPr lang="en-US"/>
                  <a:pPr>
                    <a:defRPr sz="1100" b="0" i="0" u="none" strike="noStrike" kern="1200" baseline="0">
                      <a:solidFill>
                        <a:srgbClr val="7A6230"/>
                      </a:solidFill>
                      <a:latin typeface="+mn-lt"/>
                      <a:ea typeface="+mn-ea"/>
                      <a:cs typeface="+mn-cs"/>
                    </a:defRPr>
                  </a:pPr>
                  <a:t>[VALUE]</a:t>
                </a:fld>
                <a:r>
                  <a:rPr lang="en-US" baseline="0"/>
                  <a:t>, (</a:t>
                </a:r>
                <a:fld id="{A745C724-96DB-439D-973D-5894648ABC37}" type="PERCENTAGE">
                  <a:rPr lang="en-US" baseline="0"/>
                  <a:pPr>
                    <a:defRPr sz="1100" b="0" i="0" u="none" strike="noStrike" kern="1200" baseline="0">
                      <a:solidFill>
                        <a:srgbClr val="7A6230"/>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716415829063101"/>
                  <c:h val="0.14713617143783897"/>
                </c:manualLayout>
              </c15:layout>
              <c15:dlblFieldTable/>
              <c15:showDataLabelsRange val="0"/>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rgbClr val="9E7F3F"/>
          </a:solidFill>
          <a:ln w="19050">
            <a:solidFill>
              <a:schemeClr val="lt1"/>
            </a:solidFill>
          </a:ln>
          <a:effectLst/>
        </c:spPr>
        <c:dLbl>
          <c:idx val="0"/>
          <c:layout>
            <c:manualLayout>
              <c:x val="0.46381609918121286"/>
              <c:y val="-9.8550684151265215E-3"/>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fld id="{E61BB869-0F87-4410-A4FA-FA277D753E33}" type="VALUE">
                  <a:rPr lang="en-US"/>
                  <a:pPr>
                    <a:defRPr sz="1100" b="0" i="0" u="none" strike="noStrike" kern="1200" baseline="0">
                      <a:solidFill>
                        <a:srgbClr val="7A6230"/>
                      </a:solidFill>
                      <a:latin typeface="+mn-lt"/>
                      <a:ea typeface="+mn-ea"/>
                      <a:cs typeface="+mn-cs"/>
                    </a:defRPr>
                  </a:pPr>
                  <a:t>[VALUE]</a:t>
                </a:fld>
                <a:r>
                  <a:rPr lang="en-US" baseline="0"/>
                  <a:t>, (</a:t>
                </a:r>
                <a:fld id="{B3A3B48A-AFB8-43FA-9600-A90E910294A2}" type="PERCENTAGE">
                  <a:rPr lang="en-US" baseline="0"/>
                  <a:pPr>
                    <a:defRPr sz="1100" b="0" i="0" u="none" strike="noStrike" kern="1200" baseline="0">
                      <a:solidFill>
                        <a:srgbClr val="7A6230"/>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327763955306341"/>
                  <c:h val="0.14713617143783897"/>
                </c:manualLayout>
              </c15:layout>
              <c15:dlblFieldTable/>
              <c15:showDataLabelsRange val="0"/>
            </c:ext>
          </c:extLst>
        </c:dLbl>
      </c:pivotFmt>
      <c:pivotFmt>
        <c:idx val="15"/>
        <c:spPr>
          <a:solidFill>
            <a:srgbClr val="5C4A1E"/>
          </a:solidFill>
          <a:ln w="19050">
            <a:solidFill>
              <a:schemeClr val="lt1"/>
            </a:solidFill>
          </a:ln>
          <a:effectLst/>
        </c:spPr>
        <c:dLbl>
          <c:idx val="0"/>
          <c:layout>
            <c:manualLayout>
              <c:x val="0.56320103331502147"/>
              <c:y val="-0.21188397092522029"/>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fld id="{974BDD0F-4BD0-40F9-9120-FD1F3690298A}" type="VALUE">
                  <a:rPr lang="en-US"/>
                  <a:pPr>
                    <a:defRPr sz="1100" b="0" i="0" u="none" strike="noStrike" kern="1200" baseline="0">
                      <a:solidFill>
                        <a:srgbClr val="7A6230"/>
                      </a:solidFill>
                      <a:latin typeface="+mn-lt"/>
                      <a:ea typeface="+mn-ea"/>
                      <a:cs typeface="+mn-cs"/>
                    </a:defRPr>
                  </a:pPr>
                  <a:t>[VALUE]</a:t>
                </a:fld>
                <a:r>
                  <a:rPr lang="en-US" baseline="0"/>
                  <a:t>, (</a:t>
                </a:r>
                <a:fld id="{016F2FC6-BB3C-4E35-9CB4-4C942EF8DC1C}" type="PERCENTAGE">
                  <a:rPr lang="en-US" baseline="0"/>
                  <a:pPr>
                    <a:defRPr sz="1100" b="0" i="0" u="none" strike="noStrike" kern="1200" baseline="0">
                      <a:solidFill>
                        <a:srgbClr val="7A6230"/>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330075159858995"/>
                  <c:h val="0.14713617143783897"/>
                </c:manualLayout>
              </c15:layout>
              <c15:dlblFieldTable/>
              <c15:showDataLabelsRange val="0"/>
            </c:ext>
          </c:extLst>
        </c:dLbl>
      </c:pivotFmt>
      <c:pivotFmt>
        <c:idx val="16"/>
        <c:spPr>
          <a:solidFill>
            <a:srgbClr val="C4A45A"/>
          </a:solidFill>
          <a:ln w="19050">
            <a:solidFill>
              <a:schemeClr val="lt1"/>
            </a:solidFill>
          </a:ln>
          <a:effectLst/>
        </c:spPr>
        <c:dLbl>
          <c:idx val="0"/>
          <c:layout>
            <c:manualLayout>
              <c:x val="0.71937012648721199"/>
              <c:y val="0.25623177879328946"/>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fld id="{D0CE320B-47DA-4449-B6AD-23CCD73F6726}" type="VALUE">
                  <a:rPr lang="en-US"/>
                  <a:pPr>
                    <a:defRPr sz="1100" b="0" i="0" u="none" strike="noStrike" kern="1200" baseline="0">
                      <a:solidFill>
                        <a:srgbClr val="7A6230"/>
                      </a:solidFill>
                      <a:latin typeface="+mn-lt"/>
                      <a:ea typeface="+mn-ea"/>
                      <a:cs typeface="+mn-cs"/>
                    </a:defRPr>
                  </a:pPr>
                  <a:t>[VALUE]</a:t>
                </a:fld>
                <a:r>
                  <a:rPr lang="en-US" baseline="0"/>
                  <a:t>, (</a:t>
                </a:r>
                <a:fld id="{A745C724-96DB-439D-973D-5894648ABC37}" type="PERCENTAGE">
                  <a:rPr lang="en-US" baseline="0"/>
                  <a:pPr>
                    <a:defRPr sz="1100" b="0" i="0" u="none" strike="noStrike" kern="1200" baseline="0">
                      <a:solidFill>
                        <a:srgbClr val="7A6230"/>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716415829063101"/>
                  <c:h val="0.14713617143783897"/>
                </c:manualLayout>
              </c15:layout>
              <c15:dlblFieldTable/>
              <c15:showDataLabelsRange val="0"/>
            </c:ext>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rgbClr val="9E7F3F"/>
          </a:solidFill>
          <a:ln w="19050">
            <a:solidFill>
              <a:schemeClr val="lt1"/>
            </a:solidFill>
          </a:ln>
          <a:effectLst/>
        </c:spPr>
        <c:dLbl>
          <c:idx val="0"/>
          <c:layout>
            <c:manualLayout>
              <c:x val="0.46381609918121286"/>
              <c:y val="-9.8550684151265215E-3"/>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fld id="{E61BB869-0F87-4410-A4FA-FA277D753E33}" type="VALUE">
                  <a:rPr lang="en-US"/>
                  <a:pPr>
                    <a:defRPr sz="1100" b="0" i="0" u="none" strike="noStrike" kern="1200" baseline="0">
                      <a:solidFill>
                        <a:srgbClr val="7A6230"/>
                      </a:solidFill>
                      <a:latin typeface="+mn-lt"/>
                      <a:ea typeface="+mn-ea"/>
                      <a:cs typeface="+mn-cs"/>
                    </a:defRPr>
                  </a:pPr>
                  <a:t>[VALUE]</a:t>
                </a:fld>
                <a:r>
                  <a:rPr lang="en-US" baseline="0"/>
                  <a:t>, (</a:t>
                </a:r>
                <a:fld id="{B3A3B48A-AFB8-43FA-9600-A90E910294A2}" type="PERCENTAGE">
                  <a:rPr lang="en-US" baseline="0"/>
                  <a:pPr>
                    <a:defRPr sz="1100" b="0" i="0" u="none" strike="noStrike" kern="1200" baseline="0">
                      <a:solidFill>
                        <a:srgbClr val="7A6230"/>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327763955306341"/>
                  <c:h val="0.14713617143783897"/>
                </c:manualLayout>
              </c15:layout>
              <c15:dlblFieldTable/>
              <c15:showDataLabelsRange val="0"/>
            </c:ext>
          </c:extLst>
        </c:dLbl>
      </c:pivotFmt>
      <c:pivotFmt>
        <c:idx val="19"/>
        <c:spPr>
          <a:solidFill>
            <a:srgbClr val="5C4A1E"/>
          </a:solidFill>
          <a:ln w="19050">
            <a:solidFill>
              <a:schemeClr val="lt1"/>
            </a:solidFill>
          </a:ln>
          <a:effectLst/>
        </c:spPr>
        <c:dLbl>
          <c:idx val="0"/>
          <c:layout>
            <c:manualLayout>
              <c:x val="0.56320103331502147"/>
              <c:y val="-0.21188397092522029"/>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fld id="{974BDD0F-4BD0-40F9-9120-FD1F3690298A}" type="VALUE">
                  <a:rPr lang="en-US"/>
                  <a:pPr>
                    <a:defRPr sz="1100" b="0" i="0" u="none" strike="noStrike" kern="1200" baseline="0">
                      <a:solidFill>
                        <a:srgbClr val="7A6230"/>
                      </a:solidFill>
                      <a:latin typeface="+mn-lt"/>
                      <a:ea typeface="+mn-ea"/>
                      <a:cs typeface="+mn-cs"/>
                    </a:defRPr>
                  </a:pPr>
                  <a:t>[VALUE]</a:t>
                </a:fld>
                <a:r>
                  <a:rPr lang="en-US" baseline="0"/>
                  <a:t>, (</a:t>
                </a:r>
                <a:fld id="{016F2FC6-BB3C-4E35-9CB4-4C942EF8DC1C}" type="PERCENTAGE">
                  <a:rPr lang="en-US" baseline="0"/>
                  <a:pPr>
                    <a:defRPr sz="1100" b="0" i="0" u="none" strike="noStrike" kern="1200" baseline="0">
                      <a:solidFill>
                        <a:srgbClr val="7A6230"/>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330075159858995"/>
                  <c:h val="0.14713617143783897"/>
                </c:manualLayout>
              </c15:layout>
              <c15:dlblFieldTable/>
              <c15:showDataLabelsRange val="0"/>
            </c:ext>
          </c:extLst>
        </c:dLbl>
      </c:pivotFmt>
      <c:pivotFmt>
        <c:idx val="20"/>
        <c:spPr>
          <a:solidFill>
            <a:srgbClr val="C4A45A"/>
          </a:solidFill>
          <a:ln w="19050">
            <a:solidFill>
              <a:schemeClr val="lt1"/>
            </a:solidFill>
          </a:ln>
          <a:effectLst/>
        </c:spPr>
        <c:dLbl>
          <c:idx val="0"/>
          <c:layout>
            <c:manualLayout>
              <c:x val="0.71937012648721199"/>
              <c:y val="0.25623177879328946"/>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fld id="{D0CE320B-47DA-4449-B6AD-23CCD73F6726}" type="VALUE">
                  <a:rPr lang="en-US"/>
                  <a:pPr>
                    <a:defRPr sz="1100" b="0" i="0" u="none" strike="noStrike" kern="1200" baseline="0">
                      <a:solidFill>
                        <a:srgbClr val="7A6230"/>
                      </a:solidFill>
                      <a:latin typeface="+mn-lt"/>
                      <a:ea typeface="+mn-ea"/>
                      <a:cs typeface="+mn-cs"/>
                    </a:defRPr>
                  </a:pPr>
                  <a:t>[VALUE]</a:t>
                </a:fld>
                <a:r>
                  <a:rPr lang="en-US" baseline="0"/>
                  <a:t>, (</a:t>
                </a:r>
                <a:fld id="{A745C724-96DB-439D-973D-5894648ABC37}" type="PERCENTAGE">
                  <a:rPr lang="en-US" baseline="0"/>
                  <a:pPr>
                    <a:defRPr sz="1100" b="0" i="0" u="none" strike="noStrike" kern="1200" baseline="0">
                      <a:solidFill>
                        <a:srgbClr val="7A6230"/>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716415829063101"/>
                  <c:h val="0.14713617143783897"/>
                </c:manualLayout>
              </c15:layout>
              <c15:dlblFieldTable/>
              <c15:showDataLabelsRange val="0"/>
            </c:ext>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2"/>
        <c:spPr>
          <a:solidFill>
            <a:srgbClr val="9E7F3F"/>
          </a:solidFill>
          <a:ln w="19050">
            <a:solidFill>
              <a:schemeClr val="lt1"/>
            </a:solidFill>
          </a:ln>
          <a:effectLst/>
        </c:spPr>
        <c:dLbl>
          <c:idx val="0"/>
          <c:layout>
            <c:manualLayout>
              <c:x val="0.46381609918121286"/>
              <c:y val="-9.8550684151265215E-3"/>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fld id="{E61BB869-0F87-4410-A4FA-FA277D753E33}" type="VALUE">
                  <a:rPr lang="en-US"/>
                  <a:pPr>
                    <a:defRPr sz="1100" b="0" i="0" u="none" strike="noStrike" kern="1200" baseline="0">
                      <a:solidFill>
                        <a:srgbClr val="7A6230"/>
                      </a:solidFill>
                      <a:latin typeface="+mn-lt"/>
                      <a:ea typeface="+mn-ea"/>
                      <a:cs typeface="+mn-cs"/>
                    </a:defRPr>
                  </a:pPr>
                  <a:t>[VALUE]</a:t>
                </a:fld>
                <a:r>
                  <a:rPr lang="en-US" baseline="0"/>
                  <a:t>, (</a:t>
                </a:r>
                <a:fld id="{B3A3B48A-AFB8-43FA-9600-A90E910294A2}" type="PERCENTAGE">
                  <a:rPr lang="en-US" baseline="0"/>
                  <a:pPr>
                    <a:defRPr sz="1100" b="0" i="0" u="none" strike="noStrike" kern="1200" baseline="0">
                      <a:solidFill>
                        <a:srgbClr val="7A6230"/>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327763955306341"/>
                  <c:h val="0.14713617143783897"/>
                </c:manualLayout>
              </c15:layout>
              <c15:dlblFieldTable/>
              <c15:showDataLabelsRange val="0"/>
            </c:ext>
          </c:extLst>
        </c:dLbl>
      </c:pivotFmt>
      <c:pivotFmt>
        <c:idx val="23"/>
        <c:spPr>
          <a:solidFill>
            <a:srgbClr val="5C4A1E"/>
          </a:solidFill>
          <a:ln w="19050">
            <a:solidFill>
              <a:schemeClr val="lt1"/>
            </a:solidFill>
          </a:ln>
          <a:effectLst/>
        </c:spPr>
        <c:dLbl>
          <c:idx val="0"/>
          <c:layout>
            <c:manualLayout>
              <c:x val="0.56320103331502147"/>
              <c:y val="-0.21188397092522029"/>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fld id="{974BDD0F-4BD0-40F9-9120-FD1F3690298A}" type="VALUE">
                  <a:rPr lang="en-US"/>
                  <a:pPr>
                    <a:defRPr sz="1100" b="0" i="0" u="none" strike="noStrike" kern="1200" baseline="0">
                      <a:solidFill>
                        <a:srgbClr val="7A6230"/>
                      </a:solidFill>
                      <a:latin typeface="+mn-lt"/>
                      <a:ea typeface="+mn-ea"/>
                      <a:cs typeface="+mn-cs"/>
                    </a:defRPr>
                  </a:pPr>
                  <a:t>[VALUE]</a:t>
                </a:fld>
                <a:r>
                  <a:rPr lang="en-US" baseline="0"/>
                  <a:t>, (</a:t>
                </a:r>
                <a:fld id="{016F2FC6-BB3C-4E35-9CB4-4C942EF8DC1C}" type="PERCENTAGE">
                  <a:rPr lang="en-US" baseline="0"/>
                  <a:pPr>
                    <a:defRPr sz="1100" b="0" i="0" u="none" strike="noStrike" kern="1200" baseline="0">
                      <a:solidFill>
                        <a:srgbClr val="7A6230"/>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330075159858995"/>
                  <c:h val="0.14713617143783897"/>
                </c:manualLayout>
              </c15:layout>
              <c15:dlblFieldTable/>
              <c15:showDataLabelsRange val="0"/>
            </c:ext>
          </c:extLst>
        </c:dLbl>
      </c:pivotFmt>
      <c:pivotFmt>
        <c:idx val="24"/>
        <c:spPr>
          <a:solidFill>
            <a:srgbClr val="C4A45A"/>
          </a:solidFill>
          <a:ln w="19050">
            <a:solidFill>
              <a:schemeClr val="lt1"/>
            </a:solidFill>
          </a:ln>
          <a:effectLst/>
        </c:spPr>
        <c:dLbl>
          <c:idx val="0"/>
          <c:layout>
            <c:manualLayout>
              <c:x val="0.71937012648721199"/>
              <c:y val="0.25623177879328946"/>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fld id="{D0CE320B-47DA-4449-B6AD-23CCD73F6726}" type="VALUE">
                  <a:rPr lang="en-US"/>
                  <a:pPr>
                    <a:defRPr sz="1100" b="0" i="0" u="none" strike="noStrike" kern="1200" baseline="0">
                      <a:solidFill>
                        <a:srgbClr val="7A6230"/>
                      </a:solidFill>
                      <a:latin typeface="+mn-lt"/>
                      <a:ea typeface="+mn-ea"/>
                      <a:cs typeface="+mn-cs"/>
                    </a:defRPr>
                  </a:pPr>
                  <a:t>[VALUE]</a:t>
                </a:fld>
                <a:r>
                  <a:rPr lang="en-US" baseline="0"/>
                  <a:t>, (</a:t>
                </a:r>
                <a:fld id="{A745C724-96DB-439D-973D-5894648ABC37}" type="PERCENTAGE">
                  <a:rPr lang="en-US" baseline="0"/>
                  <a:pPr>
                    <a:defRPr sz="1100" b="0" i="0" u="none" strike="noStrike" kern="1200" baseline="0">
                      <a:solidFill>
                        <a:srgbClr val="7A6230"/>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716415829063101"/>
                  <c:h val="0.14713617143783897"/>
                </c:manualLayout>
              </c15:layout>
              <c15:dlblFieldTable/>
              <c15:showDataLabelsRange val="0"/>
            </c:ext>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6"/>
        <c:spPr>
          <a:solidFill>
            <a:srgbClr val="9E7F3F"/>
          </a:solidFill>
          <a:ln w="19050">
            <a:solidFill>
              <a:schemeClr val="lt1"/>
            </a:solidFill>
          </a:ln>
          <a:effectLst/>
        </c:spPr>
        <c:dLbl>
          <c:idx val="0"/>
          <c:layout>
            <c:manualLayout>
              <c:x val="0.46381609918121286"/>
              <c:y val="-9.8550684151265215E-3"/>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fld id="{E61BB869-0F87-4410-A4FA-FA277D753E33}" type="VALUE">
                  <a:rPr lang="en-US"/>
                  <a:pPr>
                    <a:defRPr sz="1100" b="0" i="0" u="none" strike="noStrike" kern="1200" baseline="0">
                      <a:solidFill>
                        <a:srgbClr val="7A6230"/>
                      </a:solidFill>
                      <a:latin typeface="+mn-lt"/>
                      <a:ea typeface="+mn-ea"/>
                      <a:cs typeface="+mn-cs"/>
                    </a:defRPr>
                  </a:pPr>
                  <a:t>[VALUE]</a:t>
                </a:fld>
                <a:r>
                  <a:rPr lang="en-US" baseline="0"/>
                  <a:t>, (</a:t>
                </a:r>
                <a:fld id="{B3A3B48A-AFB8-43FA-9600-A90E910294A2}" type="PERCENTAGE">
                  <a:rPr lang="en-US" baseline="0"/>
                  <a:pPr>
                    <a:defRPr sz="1100" b="0" i="0" u="none" strike="noStrike" kern="1200" baseline="0">
                      <a:solidFill>
                        <a:srgbClr val="7A6230"/>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327763955306341"/>
                  <c:h val="0.14713617143783897"/>
                </c:manualLayout>
              </c15:layout>
              <c15:dlblFieldTable/>
              <c15:showDataLabelsRange val="0"/>
            </c:ext>
          </c:extLst>
        </c:dLbl>
      </c:pivotFmt>
      <c:pivotFmt>
        <c:idx val="27"/>
        <c:spPr>
          <a:solidFill>
            <a:srgbClr val="5C4A1E"/>
          </a:solidFill>
          <a:ln w="19050">
            <a:solidFill>
              <a:schemeClr val="lt1"/>
            </a:solidFill>
          </a:ln>
          <a:effectLst/>
        </c:spPr>
        <c:dLbl>
          <c:idx val="0"/>
          <c:layout>
            <c:manualLayout>
              <c:x val="0.56320103331502147"/>
              <c:y val="-0.21188397092522029"/>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fld id="{974BDD0F-4BD0-40F9-9120-FD1F3690298A}" type="VALUE">
                  <a:rPr lang="en-US"/>
                  <a:pPr>
                    <a:defRPr sz="1100" b="0" i="0" u="none" strike="noStrike" kern="1200" baseline="0">
                      <a:solidFill>
                        <a:srgbClr val="7A6230"/>
                      </a:solidFill>
                      <a:latin typeface="+mn-lt"/>
                      <a:ea typeface="+mn-ea"/>
                      <a:cs typeface="+mn-cs"/>
                    </a:defRPr>
                  </a:pPr>
                  <a:t>[VALUE]</a:t>
                </a:fld>
                <a:r>
                  <a:rPr lang="en-US" baseline="0"/>
                  <a:t>, (</a:t>
                </a:r>
                <a:fld id="{016F2FC6-BB3C-4E35-9CB4-4C942EF8DC1C}" type="PERCENTAGE">
                  <a:rPr lang="en-US" baseline="0"/>
                  <a:pPr>
                    <a:defRPr sz="1100" b="0" i="0" u="none" strike="noStrike" kern="1200" baseline="0">
                      <a:solidFill>
                        <a:srgbClr val="7A6230"/>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330075159858995"/>
                  <c:h val="0.14713617143783897"/>
                </c:manualLayout>
              </c15:layout>
              <c15:dlblFieldTable/>
              <c15:showDataLabelsRange val="0"/>
            </c:ext>
          </c:extLst>
        </c:dLbl>
      </c:pivotFmt>
      <c:pivotFmt>
        <c:idx val="28"/>
        <c:spPr>
          <a:solidFill>
            <a:srgbClr val="C4A45A"/>
          </a:solidFill>
          <a:ln w="19050">
            <a:solidFill>
              <a:schemeClr val="lt1"/>
            </a:solidFill>
          </a:ln>
          <a:effectLst/>
        </c:spPr>
        <c:dLbl>
          <c:idx val="0"/>
          <c:layout>
            <c:manualLayout>
              <c:x val="0.71937012648721199"/>
              <c:y val="0.25623177879328946"/>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fld id="{D0CE320B-47DA-4449-B6AD-23CCD73F6726}" type="VALUE">
                  <a:rPr lang="en-US"/>
                  <a:pPr>
                    <a:defRPr sz="1100" b="0" i="0" u="none" strike="noStrike" kern="1200" baseline="0">
                      <a:solidFill>
                        <a:srgbClr val="7A6230"/>
                      </a:solidFill>
                      <a:latin typeface="+mn-lt"/>
                      <a:ea typeface="+mn-ea"/>
                      <a:cs typeface="+mn-cs"/>
                    </a:defRPr>
                  </a:pPr>
                  <a:t>[VALUE]</a:t>
                </a:fld>
                <a:r>
                  <a:rPr lang="en-US" baseline="0"/>
                  <a:t>, (</a:t>
                </a:r>
                <a:fld id="{A745C724-96DB-439D-973D-5894648ABC37}" type="PERCENTAGE">
                  <a:rPr lang="en-US" baseline="0"/>
                  <a:pPr>
                    <a:defRPr sz="1100" b="0" i="0" u="none" strike="noStrike" kern="1200" baseline="0">
                      <a:solidFill>
                        <a:srgbClr val="7A6230"/>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716415829063101"/>
                  <c:h val="0.14713617143783897"/>
                </c:manualLayout>
              </c15:layout>
              <c15:dlblFieldTable/>
              <c15:showDataLabelsRange val="0"/>
            </c:ext>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9E7F3F"/>
          </a:solidFill>
          <a:ln w="19050">
            <a:solidFill>
              <a:schemeClr val="lt1"/>
            </a:solidFill>
          </a:ln>
          <a:effectLst/>
        </c:spPr>
        <c:dLbl>
          <c:idx val="0"/>
          <c:layout>
            <c:manualLayout>
              <c:x val="-0.39870846906983143"/>
              <c:y val="0.53751361136861686"/>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20492964307353"/>
                  <c:h val="0.14713630984349363"/>
                </c:manualLayout>
              </c15:layout>
            </c:ext>
          </c:extLst>
        </c:dLbl>
      </c:pivotFmt>
      <c:pivotFmt>
        <c:idx val="31"/>
        <c:spPr>
          <a:solidFill>
            <a:srgbClr val="5C4A1E"/>
          </a:solidFill>
          <a:ln w="19050">
            <a:solidFill>
              <a:schemeClr val="lt1"/>
            </a:solidFill>
          </a:ln>
          <a:effectLst/>
        </c:spPr>
        <c:dLbl>
          <c:idx val="0"/>
          <c:layout>
            <c:manualLayout>
              <c:x val="4.6867038887951927E-2"/>
              <c:y val="0.25333954892086885"/>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330099875800578"/>
                  <c:h val="0.14713630984349363"/>
                </c:manualLayout>
              </c15:layout>
            </c:ext>
          </c:extLst>
        </c:dLbl>
      </c:pivotFmt>
      <c:pivotFmt>
        <c:idx val="32"/>
        <c:spPr>
          <a:solidFill>
            <a:srgbClr val="C4A45A"/>
          </a:solidFill>
          <a:ln w="19050">
            <a:solidFill>
              <a:schemeClr val="lt1"/>
            </a:solidFill>
          </a:ln>
          <a:effectLst/>
        </c:spPr>
        <c:dLbl>
          <c:idx val="0"/>
          <c:layout>
            <c:manualLayout>
              <c:x val="0.46880352329486613"/>
              <c:y val="0.53386544588200624"/>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716415829063101"/>
                  <c:h val="0.14713617143783897"/>
                </c:manualLayout>
              </c15:layout>
            </c:ext>
          </c:extLst>
        </c:dLbl>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9E7F3F"/>
          </a:solidFill>
          <a:ln w="19050">
            <a:solidFill>
              <a:schemeClr val="lt1"/>
            </a:solidFill>
          </a:ln>
          <a:effectLst/>
        </c:spPr>
        <c:dLbl>
          <c:idx val="0"/>
          <c:layout>
            <c:manualLayout>
              <c:x val="-0.39870846906983143"/>
              <c:y val="0.53751361136861686"/>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20492964307353"/>
                  <c:h val="0.14713630984349363"/>
                </c:manualLayout>
              </c15:layout>
            </c:ext>
          </c:extLst>
        </c:dLbl>
      </c:pivotFmt>
      <c:pivotFmt>
        <c:idx val="35"/>
        <c:spPr>
          <a:solidFill>
            <a:srgbClr val="5C4A1E"/>
          </a:solidFill>
          <a:ln w="19050">
            <a:solidFill>
              <a:schemeClr val="lt1"/>
            </a:solidFill>
          </a:ln>
          <a:effectLst/>
        </c:spPr>
        <c:dLbl>
          <c:idx val="0"/>
          <c:layout>
            <c:manualLayout>
              <c:x val="4.6867038887951927E-2"/>
              <c:y val="0.25333954892086885"/>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330099875800578"/>
                  <c:h val="0.14713630984349363"/>
                </c:manualLayout>
              </c15:layout>
            </c:ext>
          </c:extLst>
        </c:dLbl>
      </c:pivotFmt>
      <c:pivotFmt>
        <c:idx val="36"/>
        <c:spPr>
          <a:solidFill>
            <a:srgbClr val="C4A45A"/>
          </a:solidFill>
          <a:ln w="19050">
            <a:solidFill>
              <a:schemeClr val="lt1"/>
            </a:solidFill>
          </a:ln>
          <a:effectLst/>
        </c:spPr>
        <c:dLbl>
          <c:idx val="0"/>
          <c:layout>
            <c:manualLayout>
              <c:x val="0.46880352329486613"/>
              <c:y val="0.53386544588200624"/>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716415829063101"/>
                  <c:h val="0.14713617143783897"/>
                </c:manualLayout>
              </c15:layout>
            </c:ext>
          </c:extLst>
        </c:dLbl>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9E7F3F"/>
          </a:solidFill>
          <a:ln w="19050">
            <a:solidFill>
              <a:schemeClr val="lt1"/>
            </a:solidFill>
          </a:ln>
          <a:effectLst/>
        </c:spPr>
        <c:dLbl>
          <c:idx val="0"/>
          <c:layout>
            <c:manualLayout>
              <c:x val="-0.39870846906983143"/>
              <c:y val="0.53751361136861686"/>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20492964307353"/>
                  <c:h val="0.14713630984349363"/>
                </c:manualLayout>
              </c15:layout>
            </c:ext>
          </c:extLst>
        </c:dLbl>
      </c:pivotFmt>
      <c:pivotFmt>
        <c:idx val="39"/>
        <c:spPr>
          <a:solidFill>
            <a:srgbClr val="5C4A1E"/>
          </a:solidFill>
          <a:ln w="19050">
            <a:solidFill>
              <a:schemeClr val="lt1"/>
            </a:solidFill>
          </a:ln>
          <a:effectLst/>
        </c:spPr>
        <c:dLbl>
          <c:idx val="0"/>
          <c:layout>
            <c:manualLayout>
              <c:x val="4.6867038887951927E-2"/>
              <c:y val="0.25333954892086885"/>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330099875800578"/>
                  <c:h val="0.14713630984349363"/>
                </c:manualLayout>
              </c15:layout>
            </c:ext>
          </c:extLst>
        </c:dLbl>
      </c:pivotFmt>
      <c:pivotFmt>
        <c:idx val="40"/>
        <c:spPr>
          <a:solidFill>
            <a:srgbClr val="C4A45A"/>
          </a:solidFill>
          <a:ln w="19050">
            <a:solidFill>
              <a:schemeClr val="lt1"/>
            </a:solidFill>
          </a:ln>
          <a:effectLst/>
        </c:spPr>
        <c:dLbl>
          <c:idx val="0"/>
          <c:layout>
            <c:manualLayout>
              <c:x val="0.46880352329486613"/>
              <c:y val="0.53386544588200624"/>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716415829063101"/>
                  <c:h val="0.14713617143783897"/>
                </c:manualLayout>
              </c15:layout>
            </c:ext>
          </c:extLst>
        </c:dLbl>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9E7F3F"/>
          </a:solidFill>
          <a:ln w="19050">
            <a:solidFill>
              <a:schemeClr val="lt1"/>
            </a:solidFill>
          </a:ln>
          <a:effectLst/>
        </c:spPr>
        <c:dLbl>
          <c:idx val="0"/>
          <c:layout>
            <c:manualLayout>
              <c:x val="-0.39870846906983143"/>
              <c:y val="0.53751361136861686"/>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20492964307353"/>
                  <c:h val="0.14713630984349363"/>
                </c:manualLayout>
              </c15:layout>
            </c:ext>
          </c:extLst>
        </c:dLbl>
      </c:pivotFmt>
      <c:pivotFmt>
        <c:idx val="43"/>
        <c:spPr>
          <a:solidFill>
            <a:srgbClr val="5C4A1E"/>
          </a:solidFill>
          <a:ln w="19050">
            <a:solidFill>
              <a:schemeClr val="lt1"/>
            </a:solidFill>
          </a:ln>
          <a:effectLst/>
        </c:spPr>
        <c:dLbl>
          <c:idx val="0"/>
          <c:layout>
            <c:manualLayout>
              <c:x val="4.6867038887951927E-2"/>
              <c:y val="0.25333954892086885"/>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330099875800578"/>
                  <c:h val="0.14713630984349363"/>
                </c:manualLayout>
              </c15:layout>
            </c:ext>
          </c:extLst>
        </c:dLbl>
      </c:pivotFmt>
      <c:pivotFmt>
        <c:idx val="44"/>
        <c:spPr>
          <a:solidFill>
            <a:srgbClr val="C4A45A"/>
          </a:solidFill>
          <a:ln w="19050">
            <a:solidFill>
              <a:schemeClr val="lt1"/>
            </a:solidFill>
          </a:ln>
          <a:effectLst/>
        </c:spPr>
        <c:dLbl>
          <c:idx val="0"/>
          <c:layout>
            <c:manualLayout>
              <c:x val="0.46880352329486613"/>
              <c:y val="0.53386544588200624"/>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716415829063101"/>
                  <c:h val="0.14713617143783897"/>
                </c:manualLayout>
              </c15:layout>
            </c:ext>
          </c:extLst>
        </c:dLbl>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9E7F3F"/>
          </a:solidFill>
          <a:ln w="19050">
            <a:solidFill>
              <a:schemeClr val="lt1"/>
            </a:solidFill>
          </a:ln>
          <a:effectLst/>
        </c:spPr>
        <c:dLbl>
          <c:idx val="0"/>
          <c:layout>
            <c:manualLayout>
              <c:x val="-0.39870846906983143"/>
              <c:y val="0.53751361136861686"/>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20492964307353"/>
                  <c:h val="0.14713630984349363"/>
                </c:manualLayout>
              </c15:layout>
            </c:ext>
          </c:extLst>
        </c:dLbl>
      </c:pivotFmt>
      <c:pivotFmt>
        <c:idx val="47"/>
        <c:spPr>
          <a:solidFill>
            <a:srgbClr val="5C4A1E"/>
          </a:solidFill>
          <a:ln w="19050">
            <a:solidFill>
              <a:schemeClr val="lt1"/>
            </a:solidFill>
          </a:ln>
          <a:effectLst/>
        </c:spPr>
        <c:dLbl>
          <c:idx val="0"/>
          <c:layout>
            <c:manualLayout>
              <c:x val="4.6867038887951927E-2"/>
              <c:y val="0.25333954892086885"/>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330099875800578"/>
                  <c:h val="0.14713630984349363"/>
                </c:manualLayout>
              </c15:layout>
            </c:ext>
          </c:extLst>
        </c:dLbl>
      </c:pivotFmt>
      <c:pivotFmt>
        <c:idx val="48"/>
        <c:spPr>
          <a:solidFill>
            <a:srgbClr val="C4A45A"/>
          </a:solidFill>
          <a:ln w="19050">
            <a:solidFill>
              <a:schemeClr val="lt1"/>
            </a:solidFill>
          </a:ln>
          <a:effectLst/>
        </c:spPr>
        <c:dLbl>
          <c:idx val="0"/>
          <c:layout>
            <c:manualLayout>
              <c:x val="0.46880352329486613"/>
              <c:y val="0.53386544588200624"/>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716415829063101"/>
                  <c:h val="0.14713617143783897"/>
                </c:manualLayout>
              </c15:layout>
            </c:ext>
          </c:extLst>
        </c:dLbl>
      </c:pivotFmt>
    </c:pivotFmts>
    <c:plotArea>
      <c:layout>
        <c:manualLayout>
          <c:layoutTarget val="inner"/>
          <c:xMode val="edge"/>
          <c:yMode val="edge"/>
          <c:x val="0.2509670999108114"/>
          <c:y val="0.22942908212803301"/>
          <c:w val="0.46423109993929473"/>
          <c:h val="0.46830362434137979"/>
        </c:manualLayout>
      </c:layout>
      <c:doughnutChart>
        <c:varyColors val="1"/>
        <c:ser>
          <c:idx val="0"/>
          <c:order val="0"/>
          <c:tx>
            <c:strRef>
              <c:f>Pivot_Table!$E$3</c:f>
              <c:strCache>
                <c:ptCount val="1"/>
                <c:pt idx="0">
                  <c:v>Total</c:v>
                </c:pt>
              </c:strCache>
            </c:strRef>
          </c:tx>
          <c:dPt>
            <c:idx val="0"/>
            <c:bubble3D val="0"/>
            <c:spPr>
              <a:solidFill>
                <a:srgbClr val="9E7F3F"/>
              </a:solidFill>
              <a:ln w="19050">
                <a:solidFill>
                  <a:schemeClr val="lt1"/>
                </a:solidFill>
              </a:ln>
              <a:effectLst/>
            </c:spPr>
            <c:extLst>
              <c:ext xmlns:c16="http://schemas.microsoft.com/office/drawing/2014/chart" uri="{C3380CC4-5D6E-409C-BE32-E72D297353CC}">
                <c16:uniqueId val="{00000001-B440-4703-B5D0-559F3EB9BE52}"/>
              </c:ext>
            </c:extLst>
          </c:dPt>
          <c:dPt>
            <c:idx val="1"/>
            <c:bubble3D val="0"/>
            <c:spPr>
              <a:solidFill>
                <a:srgbClr val="5C4A1E"/>
              </a:solidFill>
              <a:ln w="19050">
                <a:solidFill>
                  <a:schemeClr val="lt1"/>
                </a:solidFill>
              </a:ln>
              <a:effectLst/>
            </c:spPr>
            <c:extLst>
              <c:ext xmlns:c16="http://schemas.microsoft.com/office/drawing/2014/chart" uri="{C3380CC4-5D6E-409C-BE32-E72D297353CC}">
                <c16:uniqueId val="{00000003-B440-4703-B5D0-559F3EB9BE52}"/>
              </c:ext>
            </c:extLst>
          </c:dPt>
          <c:dPt>
            <c:idx val="2"/>
            <c:bubble3D val="0"/>
            <c:spPr>
              <a:solidFill>
                <a:srgbClr val="C4A45A"/>
              </a:solidFill>
              <a:ln w="19050">
                <a:solidFill>
                  <a:schemeClr val="lt1"/>
                </a:solidFill>
              </a:ln>
              <a:effectLst/>
            </c:spPr>
            <c:extLst>
              <c:ext xmlns:c16="http://schemas.microsoft.com/office/drawing/2014/chart" uri="{C3380CC4-5D6E-409C-BE32-E72D297353CC}">
                <c16:uniqueId val="{00000005-B440-4703-B5D0-559F3EB9BE52}"/>
              </c:ext>
            </c:extLst>
          </c:dPt>
          <c:dLbls>
            <c:dLbl>
              <c:idx val="0"/>
              <c:layout>
                <c:manualLayout>
                  <c:x val="-0.39870846906983143"/>
                  <c:y val="0.53751361136861686"/>
                </c:manualLayout>
              </c:layout>
              <c:showLegendKey val="0"/>
              <c:showVal val="1"/>
              <c:showCatName val="0"/>
              <c:showSerName val="0"/>
              <c:showPercent val="0"/>
              <c:showBubbleSize val="0"/>
              <c:extLst>
                <c:ext xmlns:c15="http://schemas.microsoft.com/office/drawing/2012/chart" uri="{CE6537A1-D6FC-4f65-9D91-7224C49458BB}">
                  <c15:layout>
                    <c:manualLayout>
                      <c:w val="0.27820492964307353"/>
                      <c:h val="0.14713630984349363"/>
                    </c:manualLayout>
                  </c15:layout>
                </c:ext>
                <c:ext xmlns:c16="http://schemas.microsoft.com/office/drawing/2014/chart" uri="{C3380CC4-5D6E-409C-BE32-E72D297353CC}">
                  <c16:uniqueId val="{00000001-B440-4703-B5D0-559F3EB9BE52}"/>
                </c:ext>
              </c:extLst>
            </c:dLbl>
            <c:dLbl>
              <c:idx val="1"/>
              <c:layout>
                <c:manualLayout>
                  <c:x val="4.6867038887951927E-2"/>
                  <c:y val="0.25333954892086885"/>
                </c:manualLayout>
              </c:layout>
              <c:showLegendKey val="0"/>
              <c:showVal val="1"/>
              <c:showCatName val="0"/>
              <c:showSerName val="0"/>
              <c:showPercent val="0"/>
              <c:showBubbleSize val="0"/>
              <c:extLst>
                <c:ext xmlns:c15="http://schemas.microsoft.com/office/drawing/2012/chart" uri="{CE6537A1-D6FC-4f65-9D91-7224C49458BB}">
                  <c15:layout>
                    <c:manualLayout>
                      <c:w val="0.26330099875800578"/>
                      <c:h val="0.14713630984349363"/>
                    </c:manualLayout>
                  </c15:layout>
                </c:ext>
                <c:ext xmlns:c16="http://schemas.microsoft.com/office/drawing/2014/chart" uri="{C3380CC4-5D6E-409C-BE32-E72D297353CC}">
                  <c16:uniqueId val="{00000003-B440-4703-B5D0-559F3EB9BE52}"/>
                </c:ext>
              </c:extLst>
            </c:dLbl>
            <c:dLbl>
              <c:idx val="2"/>
              <c:layout>
                <c:manualLayout>
                  <c:x val="0.46880352329486613"/>
                  <c:y val="0.53386544588200624"/>
                </c:manualLayout>
              </c:layout>
              <c:showLegendKey val="0"/>
              <c:showVal val="1"/>
              <c:showCatName val="0"/>
              <c:showSerName val="0"/>
              <c:showPercent val="0"/>
              <c:showBubbleSize val="0"/>
              <c:extLst>
                <c:ext xmlns:c15="http://schemas.microsoft.com/office/drawing/2012/chart" uri="{CE6537A1-D6FC-4f65-9D91-7224C49458BB}">
                  <c15:layout>
                    <c:manualLayout>
                      <c:w val="0.27716415829063101"/>
                      <c:h val="0.14713617143783897"/>
                    </c:manualLayout>
                  </c15:layout>
                </c:ext>
                <c:ext xmlns:c16="http://schemas.microsoft.com/office/drawing/2014/chart" uri="{C3380CC4-5D6E-409C-BE32-E72D297353CC}">
                  <c16:uniqueId val="{00000005-B440-4703-B5D0-559F3EB9BE52}"/>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Pivot_Table!$D$4:$D$7</c:f>
              <c:strCache>
                <c:ptCount val="3"/>
                <c:pt idx="0">
                  <c:v>Dessert</c:v>
                </c:pt>
                <c:pt idx="1">
                  <c:v>Main</c:v>
                </c:pt>
                <c:pt idx="2">
                  <c:v>Starter</c:v>
                </c:pt>
              </c:strCache>
            </c:strRef>
          </c:cat>
          <c:val>
            <c:numRef>
              <c:f>Pivot_Table!$E$4:$E$7</c:f>
              <c:numCache>
                <c:formatCode>_("$"* #,##0_);_("$"* \(#,##0\);_("$"* "-"??_);_(@_)</c:formatCode>
                <c:ptCount val="3"/>
                <c:pt idx="0">
                  <c:v>6509.9900000000016</c:v>
                </c:pt>
                <c:pt idx="1">
                  <c:v>7026.7900000000045</c:v>
                </c:pt>
                <c:pt idx="2">
                  <c:v>6486.3599999999988</c:v>
                </c:pt>
              </c:numCache>
            </c:numRef>
          </c:val>
          <c:extLst>
            <c:ext xmlns:c16="http://schemas.microsoft.com/office/drawing/2014/chart" uri="{C3380CC4-5D6E-409C-BE32-E72D297353CC}">
              <c16:uniqueId val="{00000006-B440-4703-B5D0-559F3EB9BE52}"/>
            </c:ext>
          </c:extLst>
        </c:ser>
        <c:dLbls>
          <c:showLegendKey val="0"/>
          <c:showVal val="1"/>
          <c:showCatName val="0"/>
          <c:showSerName val="0"/>
          <c:showPercent val="0"/>
          <c:showBubbleSize val="0"/>
          <c:showLeaderLines val="0"/>
        </c:dLbls>
        <c:firstSliceAng val="0"/>
        <c:holeSize val="60"/>
      </c:doughnutChart>
      <c:spPr>
        <a:noFill/>
        <a:ln>
          <a:noFill/>
        </a:ln>
        <a:effectLst/>
      </c:spPr>
    </c:plotArea>
    <c:legend>
      <c:legendPos val="b"/>
      <c:layout>
        <c:manualLayout>
          <c:xMode val="edge"/>
          <c:yMode val="edge"/>
          <c:x val="0.10005828902479799"/>
          <c:y val="0.73684194978017981"/>
          <c:w val="0.812705871213242"/>
          <c:h val="0.13828694462823243"/>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accent4">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[Restaurant.xlsx]Pivot_Table!PivotTable17</c:name>
    <c:fmtId val="3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800" b="1">
                <a:solidFill>
                  <a:schemeClr val="accent4">
                    <a:lumMod val="50000"/>
                  </a:schemeClr>
                </a:solidFill>
              </a:rPr>
              <a:t>Sales </a:t>
            </a:r>
            <a:r>
              <a:rPr lang="en-US" sz="800" b="1">
                <a:solidFill>
                  <a:srgbClr val="7A6230"/>
                </a:solidFill>
              </a:rPr>
              <a:t>by</a:t>
            </a:r>
            <a:r>
              <a:rPr lang="en-US" sz="800" b="1">
                <a:solidFill>
                  <a:schemeClr val="accent4">
                    <a:lumMod val="50000"/>
                  </a:schemeClr>
                </a:solidFill>
              </a:rPr>
              <a:t> item</a:t>
            </a:r>
            <a:r>
              <a:rPr lang="ar-EG" sz="800" b="1">
                <a:solidFill>
                  <a:schemeClr val="accent4">
                    <a:lumMod val="50000"/>
                  </a:schemeClr>
                </a:solidFill>
              </a:rPr>
              <a:t> </a:t>
            </a:r>
            <a:r>
              <a:rPr lang="en-US" sz="800" b="1">
                <a:solidFill>
                  <a:schemeClr val="accent4">
                    <a:lumMod val="50000"/>
                  </a:schemeClr>
                </a:solidFill>
              </a:rPr>
              <a:t>(Top 5)</a:t>
            </a:r>
          </a:p>
        </c:rich>
      </c:tx>
      <c:layout>
        <c:manualLayout>
          <c:xMode val="edge"/>
          <c:yMode val="edge"/>
          <c:x val="2.9770778652668396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C4A1E"/>
          </a:solidFill>
          <a:ln>
            <a:noFill/>
          </a:ln>
          <a:effectLst/>
        </c:spPr>
      </c:pivotFmt>
      <c:pivotFmt>
        <c:idx val="4"/>
        <c:spPr>
          <a:solidFill>
            <a:srgbClr val="5C4A1E"/>
          </a:solidFill>
          <a:ln>
            <a:noFill/>
          </a:ln>
          <a:effectLst/>
        </c:spPr>
      </c:pivotFmt>
      <c:pivotFmt>
        <c:idx val="5"/>
        <c:spPr>
          <a:solidFill>
            <a:srgbClr val="7A6230"/>
          </a:solidFill>
          <a:ln>
            <a:noFill/>
          </a:ln>
          <a:effectLst/>
        </c:spPr>
      </c:pivotFmt>
      <c:pivotFmt>
        <c:idx val="6"/>
        <c:spPr>
          <a:solidFill>
            <a:srgbClr val="7A6230"/>
          </a:solidFill>
          <a:ln>
            <a:noFill/>
          </a:ln>
          <a:effectLst/>
        </c:spPr>
      </c:pivotFmt>
      <c:pivotFmt>
        <c:idx val="7"/>
        <c:spPr>
          <a:solidFill>
            <a:srgbClr val="7A6230"/>
          </a:solidFill>
          <a:ln>
            <a:noFill/>
          </a:ln>
          <a:effectLst/>
        </c:spPr>
      </c:pivotFmt>
      <c:pivotFmt>
        <c:idx val="8"/>
        <c:spPr>
          <a:solidFill>
            <a:srgbClr val="9E7F3F"/>
          </a:solidFill>
          <a:ln>
            <a:noFill/>
          </a:ln>
          <a:effectLst/>
        </c:spPr>
      </c:pivotFmt>
      <c:pivotFmt>
        <c:idx val="9"/>
        <c:spPr>
          <a:solidFill>
            <a:srgbClr val="9E7F3F"/>
          </a:solidFill>
          <a:ln>
            <a:noFill/>
          </a:ln>
          <a:effectLst/>
        </c:spPr>
      </c:pivotFmt>
      <c:pivotFmt>
        <c:idx val="10"/>
        <c:spPr>
          <a:solidFill>
            <a:srgbClr val="9E7F3F"/>
          </a:solidFill>
          <a:ln>
            <a:noFill/>
          </a:ln>
          <a:effectLst/>
        </c:spPr>
      </c:pivotFmt>
      <c:pivotFmt>
        <c:idx val="11"/>
        <c:spPr>
          <a:solidFill>
            <a:srgbClr val="C4A45A"/>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4A45A"/>
          </a:solidFill>
          <a:ln>
            <a:noFill/>
          </a:ln>
          <a:effectLst/>
        </c:spPr>
      </c:pivotFmt>
      <c:pivotFmt>
        <c:idx val="14"/>
        <c:spPr>
          <a:solidFill>
            <a:srgbClr val="9E7F3F"/>
          </a:solidFill>
          <a:ln>
            <a:noFill/>
          </a:ln>
          <a:effectLst/>
        </c:spPr>
      </c:pivotFmt>
      <c:pivotFmt>
        <c:idx val="15"/>
        <c:spPr>
          <a:solidFill>
            <a:srgbClr val="9E7F3F"/>
          </a:solidFill>
          <a:ln>
            <a:noFill/>
          </a:ln>
          <a:effectLst/>
        </c:spPr>
      </c:pivotFmt>
      <c:pivotFmt>
        <c:idx val="16"/>
        <c:spPr>
          <a:solidFill>
            <a:srgbClr val="9E7F3F"/>
          </a:solidFill>
          <a:ln>
            <a:noFill/>
          </a:ln>
          <a:effectLst/>
        </c:spPr>
      </c:pivotFmt>
      <c:pivotFmt>
        <c:idx val="17"/>
        <c:spPr>
          <a:solidFill>
            <a:srgbClr val="7A6230"/>
          </a:solidFill>
          <a:ln>
            <a:noFill/>
          </a:ln>
          <a:effectLst/>
        </c:spPr>
      </c:pivotFmt>
      <c:pivotFmt>
        <c:idx val="18"/>
        <c:spPr>
          <a:solidFill>
            <a:srgbClr val="7A6230"/>
          </a:solidFill>
          <a:ln>
            <a:noFill/>
          </a:ln>
          <a:effectLst/>
        </c:spPr>
      </c:pivotFmt>
      <c:pivotFmt>
        <c:idx val="19"/>
        <c:spPr>
          <a:solidFill>
            <a:srgbClr val="7A6230"/>
          </a:solidFill>
          <a:ln>
            <a:noFill/>
          </a:ln>
          <a:effectLst/>
        </c:spPr>
      </c:pivotFmt>
      <c:pivotFmt>
        <c:idx val="20"/>
        <c:spPr>
          <a:solidFill>
            <a:srgbClr val="5C4A1E"/>
          </a:solidFill>
          <a:ln>
            <a:noFill/>
          </a:ln>
          <a:effectLst/>
        </c:spPr>
      </c:pivotFmt>
      <c:pivotFmt>
        <c:idx val="21"/>
        <c:spPr>
          <a:solidFill>
            <a:srgbClr val="5C4A1E"/>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C4A45A"/>
          </a:solidFill>
          <a:ln>
            <a:noFill/>
          </a:ln>
          <a:effectLst/>
        </c:spPr>
      </c:pivotFmt>
      <c:pivotFmt>
        <c:idx val="24"/>
        <c:spPr>
          <a:solidFill>
            <a:srgbClr val="9E7F3F"/>
          </a:solidFill>
          <a:ln>
            <a:noFill/>
          </a:ln>
          <a:effectLst/>
        </c:spPr>
      </c:pivotFmt>
      <c:pivotFmt>
        <c:idx val="25"/>
        <c:spPr>
          <a:solidFill>
            <a:srgbClr val="9E7F3F"/>
          </a:solidFill>
          <a:ln>
            <a:noFill/>
          </a:ln>
          <a:effectLst/>
        </c:spPr>
      </c:pivotFmt>
      <c:pivotFmt>
        <c:idx val="26"/>
        <c:spPr>
          <a:solidFill>
            <a:srgbClr val="9E7F3F"/>
          </a:solidFill>
          <a:ln>
            <a:noFill/>
          </a:ln>
          <a:effectLst/>
        </c:spPr>
      </c:pivotFmt>
      <c:pivotFmt>
        <c:idx val="27"/>
        <c:spPr>
          <a:solidFill>
            <a:srgbClr val="7A6230"/>
          </a:solidFill>
          <a:ln>
            <a:noFill/>
          </a:ln>
          <a:effectLst/>
        </c:spPr>
      </c:pivotFmt>
      <c:pivotFmt>
        <c:idx val="28"/>
        <c:spPr>
          <a:solidFill>
            <a:srgbClr val="7A6230"/>
          </a:solidFill>
          <a:ln>
            <a:noFill/>
          </a:ln>
          <a:effectLst/>
        </c:spPr>
      </c:pivotFmt>
      <c:pivotFmt>
        <c:idx val="29"/>
        <c:spPr>
          <a:solidFill>
            <a:srgbClr val="7A6230"/>
          </a:solidFill>
          <a:ln>
            <a:noFill/>
          </a:ln>
          <a:effectLst/>
        </c:spPr>
      </c:pivotFmt>
      <c:pivotFmt>
        <c:idx val="30"/>
        <c:spPr>
          <a:solidFill>
            <a:srgbClr val="5C4A1E"/>
          </a:solidFill>
          <a:ln>
            <a:noFill/>
          </a:ln>
          <a:effectLst/>
        </c:spPr>
      </c:pivotFmt>
      <c:pivotFmt>
        <c:idx val="31"/>
        <c:spPr>
          <a:solidFill>
            <a:srgbClr val="5C4A1E"/>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C4A45A"/>
          </a:solidFill>
          <a:ln>
            <a:noFill/>
          </a:ln>
          <a:effectLst/>
        </c:spPr>
      </c:pivotFmt>
      <c:pivotFmt>
        <c:idx val="34"/>
        <c:spPr>
          <a:solidFill>
            <a:srgbClr val="9E7F3F"/>
          </a:solidFill>
          <a:ln>
            <a:noFill/>
          </a:ln>
          <a:effectLst/>
        </c:spPr>
      </c:pivotFmt>
      <c:pivotFmt>
        <c:idx val="35"/>
        <c:spPr>
          <a:solidFill>
            <a:srgbClr val="9E7F3F"/>
          </a:solidFill>
          <a:ln>
            <a:noFill/>
          </a:ln>
          <a:effectLst/>
        </c:spPr>
      </c:pivotFmt>
      <c:pivotFmt>
        <c:idx val="36"/>
        <c:spPr>
          <a:solidFill>
            <a:srgbClr val="9E7F3F"/>
          </a:solidFill>
          <a:ln>
            <a:noFill/>
          </a:ln>
          <a:effectLst/>
        </c:spPr>
      </c:pivotFmt>
      <c:pivotFmt>
        <c:idx val="37"/>
        <c:spPr>
          <a:solidFill>
            <a:srgbClr val="7A6230"/>
          </a:solidFill>
          <a:ln>
            <a:noFill/>
          </a:ln>
          <a:effectLst/>
        </c:spPr>
      </c:pivotFmt>
      <c:pivotFmt>
        <c:idx val="38"/>
        <c:spPr>
          <a:solidFill>
            <a:srgbClr val="7A6230"/>
          </a:solidFill>
          <a:ln>
            <a:noFill/>
          </a:ln>
          <a:effectLst/>
        </c:spPr>
      </c:pivotFmt>
      <c:pivotFmt>
        <c:idx val="39"/>
        <c:spPr>
          <a:solidFill>
            <a:srgbClr val="7A6230"/>
          </a:solidFill>
          <a:ln>
            <a:noFill/>
          </a:ln>
          <a:effectLst/>
        </c:spPr>
      </c:pivotFmt>
      <c:pivotFmt>
        <c:idx val="40"/>
        <c:spPr>
          <a:solidFill>
            <a:srgbClr val="5C4A1E"/>
          </a:solidFill>
          <a:ln>
            <a:noFill/>
          </a:ln>
          <a:effectLst/>
        </c:spPr>
      </c:pivotFmt>
      <c:pivotFmt>
        <c:idx val="41"/>
        <c:spPr>
          <a:solidFill>
            <a:srgbClr val="5C4A1E"/>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C4A45A"/>
          </a:solidFill>
          <a:ln>
            <a:noFill/>
          </a:ln>
          <a:effectLst/>
        </c:spPr>
      </c:pivotFmt>
      <c:pivotFmt>
        <c:idx val="44"/>
        <c:spPr>
          <a:solidFill>
            <a:srgbClr val="9E7F3F"/>
          </a:solidFill>
          <a:ln>
            <a:noFill/>
          </a:ln>
          <a:effectLst/>
        </c:spPr>
      </c:pivotFmt>
      <c:pivotFmt>
        <c:idx val="45"/>
        <c:spPr>
          <a:solidFill>
            <a:srgbClr val="9E7F3F"/>
          </a:solidFill>
          <a:ln>
            <a:noFill/>
          </a:ln>
          <a:effectLst/>
        </c:spPr>
      </c:pivotFmt>
      <c:pivotFmt>
        <c:idx val="46"/>
        <c:spPr>
          <a:solidFill>
            <a:srgbClr val="9E7F3F"/>
          </a:solidFill>
          <a:ln>
            <a:noFill/>
          </a:ln>
          <a:effectLst/>
        </c:spPr>
      </c:pivotFmt>
      <c:pivotFmt>
        <c:idx val="47"/>
        <c:spPr>
          <a:solidFill>
            <a:srgbClr val="7A6230"/>
          </a:solidFill>
          <a:ln>
            <a:noFill/>
          </a:ln>
          <a:effectLst/>
        </c:spPr>
      </c:pivotFmt>
      <c:pivotFmt>
        <c:idx val="48"/>
        <c:spPr>
          <a:solidFill>
            <a:srgbClr val="7A6230"/>
          </a:solidFill>
          <a:ln>
            <a:noFill/>
          </a:ln>
          <a:effectLst/>
        </c:spPr>
      </c:pivotFmt>
      <c:pivotFmt>
        <c:idx val="49"/>
        <c:spPr>
          <a:solidFill>
            <a:srgbClr val="7A6230"/>
          </a:solidFill>
          <a:ln>
            <a:noFill/>
          </a:ln>
          <a:effectLst/>
        </c:spPr>
      </c:pivotFmt>
      <c:pivotFmt>
        <c:idx val="50"/>
        <c:spPr>
          <a:solidFill>
            <a:srgbClr val="5C4A1E"/>
          </a:solidFill>
          <a:ln>
            <a:noFill/>
          </a:ln>
          <a:effectLst/>
        </c:spPr>
      </c:pivotFmt>
      <c:pivotFmt>
        <c:idx val="51"/>
        <c:spPr>
          <a:solidFill>
            <a:srgbClr val="5C4A1E"/>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C4A45A"/>
          </a:solidFill>
          <a:ln>
            <a:noFill/>
          </a:ln>
          <a:effectLst/>
        </c:spPr>
      </c:pivotFmt>
      <c:pivotFmt>
        <c:idx val="54"/>
        <c:spPr>
          <a:solidFill>
            <a:srgbClr val="9E7F3F"/>
          </a:solidFill>
          <a:ln>
            <a:noFill/>
          </a:ln>
          <a:effectLst/>
        </c:spPr>
      </c:pivotFmt>
      <c:pivotFmt>
        <c:idx val="55"/>
        <c:spPr>
          <a:solidFill>
            <a:srgbClr val="9E7F3F"/>
          </a:solidFill>
          <a:ln>
            <a:noFill/>
          </a:ln>
          <a:effectLst/>
        </c:spPr>
      </c:pivotFmt>
      <c:pivotFmt>
        <c:idx val="56"/>
        <c:spPr>
          <a:solidFill>
            <a:srgbClr val="9E7F3F"/>
          </a:solidFill>
          <a:ln>
            <a:noFill/>
          </a:ln>
          <a:effectLst/>
        </c:spPr>
      </c:pivotFmt>
      <c:pivotFmt>
        <c:idx val="57"/>
        <c:spPr>
          <a:solidFill>
            <a:srgbClr val="7A6230"/>
          </a:solidFill>
          <a:ln>
            <a:noFill/>
          </a:ln>
          <a:effectLst/>
        </c:spPr>
      </c:pivotFmt>
      <c:pivotFmt>
        <c:idx val="58"/>
        <c:spPr>
          <a:solidFill>
            <a:srgbClr val="7A6230"/>
          </a:solidFill>
          <a:ln>
            <a:noFill/>
          </a:ln>
          <a:effectLst/>
        </c:spPr>
      </c:pivotFmt>
      <c:pivotFmt>
        <c:idx val="59"/>
        <c:spPr>
          <a:solidFill>
            <a:srgbClr val="7A6230"/>
          </a:solidFill>
          <a:ln>
            <a:noFill/>
          </a:ln>
          <a:effectLst/>
        </c:spPr>
      </c:pivotFmt>
      <c:pivotFmt>
        <c:idx val="60"/>
        <c:spPr>
          <a:solidFill>
            <a:srgbClr val="5C4A1E"/>
          </a:solidFill>
          <a:ln>
            <a:noFill/>
          </a:ln>
          <a:effectLst/>
        </c:spPr>
      </c:pivotFmt>
      <c:pivotFmt>
        <c:idx val="61"/>
        <c:spPr>
          <a:solidFill>
            <a:srgbClr val="5C4A1E"/>
          </a:solidFill>
          <a:ln>
            <a:noFill/>
          </a:ln>
          <a:effectLst/>
        </c:spPr>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C4A45A"/>
          </a:solidFill>
          <a:ln>
            <a:noFill/>
          </a:ln>
          <a:effectLst/>
        </c:spPr>
      </c:pivotFmt>
      <c:pivotFmt>
        <c:idx val="64"/>
        <c:spPr>
          <a:solidFill>
            <a:srgbClr val="9E7F3F"/>
          </a:solidFill>
          <a:ln>
            <a:noFill/>
          </a:ln>
          <a:effectLst/>
        </c:spPr>
      </c:pivotFmt>
      <c:pivotFmt>
        <c:idx val="65"/>
        <c:spPr>
          <a:solidFill>
            <a:srgbClr val="9E7F3F"/>
          </a:solidFill>
          <a:ln>
            <a:noFill/>
          </a:ln>
          <a:effectLst/>
        </c:spPr>
      </c:pivotFmt>
      <c:pivotFmt>
        <c:idx val="66"/>
        <c:spPr>
          <a:solidFill>
            <a:srgbClr val="9E7F3F"/>
          </a:solidFill>
          <a:ln>
            <a:noFill/>
          </a:ln>
          <a:effectLst/>
        </c:spPr>
      </c:pivotFmt>
      <c:pivotFmt>
        <c:idx val="67"/>
        <c:spPr>
          <a:solidFill>
            <a:srgbClr val="7A6230"/>
          </a:solidFill>
          <a:ln>
            <a:noFill/>
          </a:ln>
          <a:effectLst/>
        </c:spPr>
      </c:pivotFmt>
      <c:pivotFmt>
        <c:idx val="68"/>
        <c:spPr>
          <a:solidFill>
            <a:srgbClr val="7A6230"/>
          </a:solidFill>
          <a:ln>
            <a:noFill/>
          </a:ln>
          <a:effectLst/>
        </c:spPr>
      </c:pivotFmt>
      <c:pivotFmt>
        <c:idx val="69"/>
        <c:spPr>
          <a:solidFill>
            <a:srgbClr val="7A6230"/>
          </a:solidFill>
          <a:ln>
            <a:noFill/>
          </a:ln>
          <a:effectLst/>
        </c:spPr>
      </c:pivotFmt>
      <c:pivotFmt>
        <c:idx val="70"/>
        <c:spPr>
          <a:solidFill>
            <a:srgbClr val="5C4A1E"/>
          </a:solidFill>
          <a:ln>
            <a:noFill/>
          </a:ln>
          <a:effectLst/>
        </c:spPr>
      </c:pivotFmt>
      <c:pivotFmt>
        <c:idx val="71"/>
        <c:spPr>
          <a:solidFill>
            <a:srgbClr val="5C4A1E"/>
          </a:solidFill>
          <a:ln>
            <a:noFill/>
          </a:ln>
          <a:effectLst/>
        </c:spPr>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rgbClr val="C4A45A"/>
          </a:solidFill>
          <a:ln>
            <a:noFill/>
          </a:ln>
          <a:effectLst/>
        </c:spPr>
      </c:pivotFmt>
      <c:pivotFmt>
        <c:idx val="74"/>
        <c:spPr>
          <a:solidFill>
            <a:srgbClr val="9E7F3F"/>
          </a:solidFill>
          <a:ln>
            <a:noFill/>
          </a:ln>
          <a:effectLst/>
        </c:spPr>
      </c:pivotFmt>
      <c:pivotFmt>
        <c:idx val="75"/>
        <c:spPr>
          <a:solidFill>
            <a:srgbClr val="9E7F3F"/>
          </a:solidFill>
          <a:ln>
            <a:noFill/>
          </a:ln>
          <a:effectLst/>
        </c:spPr>
      </c:pivotFmt>
      <c:pivotFmt>
        <c:idx val="76"/>
        <c:spPr>
          <a:solidFill>
            <a:srgbClr val="9E7F3F"/>
          </a:solidFill>
          <a:ln>
            <a:noFill/>
          </a:ln>
          <a:effectLst/>
        </c:spPr>
      </c:pivotFmt>
      <c:pivotFmt>
        <c:idx val="77"/>
        <c:spPr>
          <a:solidFill>
            <a:srgbClr val="7A6230"/>
          </a:solidFill>
          <a:ln>
            <a:noFill/>
          </a:ln>
          <a:effectLst/>
        </c:spPr>
      </c:pivotFmt>
      <c:pivotFmt>
        <c:idx val="78"/>
        <c:spPr>
          <a:solidFill>
            <a:srgbClr val="7A6230"/>
          </a:solidFill>
          <a:ln>
            <a:noFill/>
          </a:ln>
          <a:effectLst/>
        </c:spPr>
      </c:pivotFmt>
      <c:pivotFmt>
        <c:idx val="79"/>
        <c:spPr>
          <a:solidFill>
            <a:srgbClr val="7A6230"/>
          </a:solidFill>
          <a:ln>
            <a:noFill/>
          </a:ln>
          <a:effectLst/>
        </c:spPr>
      </c:pivotFmt>
      <c:pivotFmt>
        <c:idx val="80"/>
        <c:spPr>
          <a:solidFill>
            <a:srgbClr val="5C4A1E"/>
          </a:solidFill>
          <a:ln>
            <a:noFill/>
          </a:ln>
          <a:effectLst/>
        </c:spPr>
      </c:pivotFmt>
      <c:pivotFmt>
        <c:idx val="81"/>
        <c:spPr>
          <a:solidFill>
            <a:srgbClr val="5C4A1E"/>
          </a:solidFill>
          <a:ln>
            <a:noFill/>
          </a:ln>
          <a:effectLst/>
        </c:spPr>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rgbClr val="C4A45A"/>
          </a:solidFill>
          <a:ln>
            <a:noFill/>
          </a:ln>
          <a:effectLst/>
        </c:spPr>
      </c:pivotFmt>
      <c:pivotFmt>
        <c:idx val="84"/>
        <c:spPr>
          <a:solidFill>
            <a:srgbClr val="9E7F3F"/>
          </a:solidFill>
          <a:ln>
            <a:noFill/>
          </a:ln>
          <a:effectLst/>
        </c:spPr>
      </c:pivotFmt>
      <c:pivotFmt>
        <c:idx val="85"/>
        <c:spPr>
          <a:solidFill>
            <a:srgbClr val="9E7F3F"/>
          </a:solidFill>
          <a:ln>
            <a:noFill/>
          </a:ln>
          <a:effectLst/>
        </c:spPr>
      </c:pivotFmt>
      <c:pivotFmt>
        <c:idx val="86"/>
        <c:spPr>
          <a:solidFill>
            <a:srgbClr val="9E7F3F"/>
          </a:solidFill>
          <a:ln>
            <a:noFill/>
          </a:ln>
          <a:effectLst/>
        </c:spPr>
      </c:pivotFmt>
      <c:pivotFmt>
        <c:idx val="87"/>
        <c:spPr>
          <a:solidFill>
            <a:srgbClr val="7A6230"/>
          </a:solidFill>
          <a:ln>
            <a:noFill/>
          </a:ln>
          <a:effectLst/>
        </c:spPr>
      </c:pivotFmt>
      <c:pivotFmt>
        <c:idx val="88"/>
        <c:spPr>
          <a:solidFill>
            <a:srgbClr val="7A6230"/>
          </a:solidFill>
          <a:ln>
            <a:noFill/>
          </a:ln>
          <a:effectLst/>
        </c:spPr>
      </c:pivotFmt>
      <c:pivotFmt>
        <c:idx val="89"/>
        <c:spPr>
          <a:solidFill>
            <a:srgbClr val="7A6230"/>
          </a:solidFill>
          <a:ln>
            <a:noFill/>
          </a:ln>
          <a:effectLst/>
        </c:spPr>
      </c:pivotFmt>
      <c:pivotFmt>
        <c:idx val="90"/>
        <c:spPr>
          <a:solidFill>
            <a:srgbClr val="5C4A1E"/>
          </a:solidFill>
          <a:ln>
            <a:noFill/>
          </a:ln>
          <a:effectLst/>
        </c:spPr>
      </c:pivotFmt>
      <c:pivotFmt>
        <c:idx val="91"/>
        <c:spPr>
          <a:solidFill>
            <a:srgbClr val="5C4A1E"/>
          </a:solidFill>
          <a:ln>
            <a:noFill/>
          </a:ln>
          <a:effectLst/>
        </c:spPr>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rgbClr val="C4A45A"/>
          </a:solidFill>
          <a:ln>
            <a:noFill/>
          </a:ln>
          <a:effectLst/>
        </c:spPr>
      </c:pivotFmt>
      <c:pivotFmt>
        <c:idx val="94"/>
        <c:spPr>
          <a:solidFill>
            <a:srgbClr val="9E7F3F"/>
          </a:solidFill>
          <a:ln>
            <a:noFill/>
          </a:ln>
          <a:effectLst/>
        </c:spPr>
      </c:pivotFmt>
      <c:pivotFmt>
        <c:idx val="95"/>
        <c:spPr>
          <a:solidFill>
            <a:srgbClr val="9E7F3F"/>
          </a:solidFill>
          <a:ln>
            <a:noFill/>
          </a:ln>
          <a:effectLst/>
        </c:spPr>
      </c:pivotFmt>
      <c:pivotFmt>
        <c:idx val="96"/>
        <c:spPr>
          <a:solidFill>
            <a:srgbClr val="9E7F3F"/>
          </a:solidFill>
          <a:ln>
            <a:noFill/>
          </a:ln>
          <a:effectLst/>
        </c:spPr>
      </c:pivotFmt>
      <c:pivotFmt>
        <c:idx val="97"/>
        <c:spPr>
          <a:solidFill>
            <a:srgbClr val="7A6230"/>
          </a:solidFill>
          <a:ln>
            <a:noFill/>
          </a:ln>
          <a:effectLst/>
        </c:spPr>
      </c:pivotFmt>
      <c:pivotFmt>
        <c:idx val="98"/>
        <c:spPr>
          <a:solidFill>
            <a:srgbClr val="7A6230"/>
          </a:solidFill>
          <a:ln>
            <a:noFill/>
          </a:ln>
          <a:effectLst/>
        </c:spPr>
      </c:pivotFmt>
      <c:pivotFmt>
        <c:idx val="99"/>
        <c:spPr>
          <a:solidFill>
            <a:srgbClr val="7A6230"/>
          </a:solidFill>
          <a:ln>
            <a:noFill/>
          </a:ln>
          <a:effectLst/>
        </c:spPr>
      </c:pivotFmt>
      <c:pivotFmt>
        <c:idx val="100"/>
        <c:spPr>
          <a:solidFill>
            <a:srgbClr val="5C4A1E"/>
          </a:solidFill>
          <a:ln>
            <a:noFill/>
          </a:ln>
          <a:effectLst/>
        </c:spPr>
      </c:pivotFmt>
      <c:pivotFmt>
        <c:idx val="101"/>
        <c:spPr>
          <a:solidFill>
            <a:srgbClr val="5C4A1E"/>
          </a:solidFill>
          <a:ln>
            <a:noFill/>
          </a:ln>
          <a:effectLst/>
        </c:spPr>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rgbClr val="C4A45A"/>
          </a:solidFill>
          <a:ln>
            <a:noFill/>
          </a:ln>
          <a:effectLst/>
        </c:spPr>
      </c:pivotFmt>
      <c:pivotFmt>
        <c:idx val="104"/>
        <c:spPr>
          <a:solidFill>
            <a:srgbClr val="9E7F3F"/>
          </a:solidFill>
          <a:ln>
            <a:noFill/>
          </a:ln>
          <a:effectLst/>
        </c:spPr>
      </c:pivotFmt>
      <c:pivotFmt>
        <c:idx val="105"/>
        <c:spPr>
          <a:solidFill>
            <a:srgbClr val="9E7F3F"/>
          </a:solidFill>
          <a:ln>
            <a:noFill/>
          </a:ln>
          <a:effectLst/>
        </c:spPr>
      </c:pivotFmt>
      <c:pivotFmt>
        <c:idx val="106"/>
        <c:spPr>
          <a:solidFill>
            <a:srgbClr val="9E7F3F"/>
          </a:solidFill>
          <a:ln>
            <a:noFill/>
          </a:ln>
          <a:effectLst/>
        </c:spPr>
      </c:pivotFmt>
      <c:pivotFmt>
        <c:idx val="107"/>
        <c:spPr>
          <a:solidFill>
            <a:srgbClr val="9E7F3F"/>
          </a:solidFill>
          <a:ln>
            <a:noFill/>
          </a:ln>
          <a:effectLst/>
        </c:spPr>
      </c:pivotFmt>
      <c:pivotFmt>
        <c:idx val="108"/>
        <c:spPr>
          <a:solidFill>
            <a:srgbClr val="9E7F3F"/>
          </a:solidFill>
          <a:ln>
            <a:noFill/>
          </a:ln>
          <a:effectLst/>
        </c:spPr>
      </c:pivotFmt>
      <c:pivotFmt>
        <c:idx val="109"/>
        <c:spPr>
          <a:solidFill>
            <a:srgbClr val="9E7F3F"/>
          </a:solidFill>
          <a:ln>
            <a:noFill/>
          </a:ln>
          <a:effectLst/>
        </c:spPr>
      </c:pivotFmt>
      <c:pivotFmt>
        <c:idx val="110"/>
        <c:spPr>
          <a:solidFill>
            <a:srgbClr val="7A6230"/>
          </a:solidFill>
          <a:ln>
            <a:noFill/>
          </a:ln>
          <a:effectLst/>
        </c:spPr>
      </c:pivotFmt>
      <c:pivotFmt>
        <c:idx val="111"/>
        <c:spPr>
          <a:solidFill>
            <a:srgbClr val="5C4A1E"/>
          </a:solidFill>
          <a:ln>
            <a:noFill/>
          </a:ln>
          <a:effectLst/>
        </c:spPr>
      </c:pivotFmt>
    </c:pivotFmts>
    <c:plotArea>
      <c:layout/>
      <c:barChart>
        <c:barDir val="bar"/>
        <c:grouping val="clustered"/>
        <c:varyColors val="0"/>
        <c:ser>
          <c:idx val="0"/>
          <c:order val="0"/>
          <c:tx>
            <c:strRef>
              <c:f>Pivot_Table!$I$1</c:f>
              <c:strCache>
                <c:ptCount val="1"/>
                <c:pt idx="0">
                  <c:v>Total</c:v>
                </c:pt>
              </c:strCache>
            </c:strRef>
          </c:tx>
          <c:spPr>
            <a:solidFill>
              <a:schemeClr val="accent1"/>
            </a:solidFill>
            <a:ln>
              <a:noFill/>
            </a:ln>
            <a:effectLst/>
          </c:spPr>
          <c:invertIfNegative val="0"/>
          <c:dPt>
            <c:idx val="0"/>
            <c:invertIfNegative val="0"/>
            <c:bubble3D val="0"/>
            <c:spPr>
              <a:solidFill>
                <a:srgbClr val="9E7F3F"/>
              </a:solidFill>
              <a:ln>
                <a:noFill/>
              </a:ln>
              <a:effectLst/>
            </c:spPr>
            <c:extLst>
              <c:ext xmlns:c16="http://schemas.microsoft.com/office/drawing/2014/chart" uri="{C3380CC4-5D6E-409C-BE32-E72D297353CC}">
                <c16:uniqueId val="{00000001-B35B-4706-8922-75067C6D59B2}"/>
              </c:ext>
            </c:extLst>
          </c:dPt>
          <c:dPt>
            <c:idx val="1"/>
            <c:invertIfNegative val="0"/>
            <c:bubble3D val="0"/>
            <c:spPr>
              <a:solidFill>
                <a:srgbClr val="9E7F3F"/>
              </a:solidFill>
              <a:ln>
                <a:noFill/>
              </a:ln>
              <a:effectLst/>
            </c:spPr>
            <c:extLst>
              <c:ext xmlns:c16="http://schemas.microsoft.com/office/drawing/2014/chart" uri="{C3380CC4-5D6E-409C-BE32-E72D297353CC}">
                <c16:uniqueId val="{00000003-B35B-4706-8922-75067C6D59B2}"/>
              </c:ext>
            </c:extLst>
          </c:dPt>
          <c:dPt>
            <c:idx val="2"/>
            <c:invertIfNegative val="0"/>
            <c:bubble3D val="0"/>
            <c:spPr>
              <a:solidFill>
                <a:srgbClr val="9E7F3F"/>
              </a:solidFill>
              <a:ln>
                <a:noFill/>
              </a:ln>
              <a:effectLst/>
            </c:spPr>
            <c:extLst>
              <c:ext xmlns:c16="http://schemas.microsoft.com/office/drawing/2014/chart" uri="{C3380CC4-5D6E-409C-BE32-E72D297353CC}">
                <c16:uniqueId val="{00000005-B35B-4706-8922-75067C6D59B2}"/>
              </c:ext>
            </c:extLst>
          </c:dPt>
          <c:dPt>
            <c:idx val="3"/>
            <c:invertIfNegative val="0"/>
            <c:bubble3D val="0"/>
            <c:spPr>
              <a:solidFill>
                <a:srgbClr val="7A6230"/>
              </a:solidFill>
              <a:ln>
                <a:noFill/>
              </a:ln>
              <a:effectLst/>
            </c:spPr>
            <c:extLst>
              <c:ext xmlns:c16="http://schemas.microsoft.com/office/drawing/2014/chart" uri="{C3380CC4-5D6E-409C-BE32-E72D297353CC}">
                <c16:uniqueId val="{00000007-B35B-4706-8922-75067C6D59B2}"/>
              </c:ext>
            </c:extLst>
          </c:dPt>
          <c:dPt>
            <c:idx val="4"/>
            <c:invertIfNegative val="0"/>
            <c:bubble3D val="0"/>
            <c:spPr>
              <a:solidFill>
                <a:srgbClr val="5C4A1E"/>
              </a:solidFill>
              <a:ln>
                <a:noFill/>
              </a:ln>
              <a:effectLst/>
            </c:spPr>
            <c:extLst>
              <c:ext xmlns:c16="http://schemas.microsoft.com/office/drawing/2014/chart" uri="{C3380CC4-5D6E-409C-BE32-E72D297353CC}">
                <c16:uniqueId val="{00000009-B35B-4706-8922-75067C6D59B2}"/>
              </c:ext>
            </c:extLst>
          </c:dPt>
          <c:dPt>
            <c:idx val="5"/>
            <c:invertIfNegative val="0"/>
            <c:bubble3D val="0"/>
            <c:extLst>
              <c:ext xmlns:c16="http://schemas.microsoft.com/office/drawing/2014/chart" uri="{C3380CC4-5D6E-409C-BE32-E72D297353CC}">
                <c16:uniqueId val="{0000000B-B35B-4706-8922-75067C6D59B2}"/>
              </c:ext>
            </c:extLst>
          </c:dPt>
          <c:dPt>
            <c:idx val="6"/>
            <c:invertIfNegative val="0"/>
            <c:bubble3D val="0"/>
            <c:extLst>
              <c:ext xmlns:c16="http://schemas.microsoft.com/office/drawing/2014/chart" uri="{C3380CC4-5D6E-409C-BE32-E72D297353CC}">
                <c16:uniqueId val="{0000000D-B35B-4706-8922-75067C6D59B2}"/>
              </c:ext>
            </c:extLst>
          </c:dPt>
          <c:dPt>
            <c:idx val="7"/>
            <c:invertIfNegative val="0"/>
            <c:bubble3D val="0"/>
            <c:extLst>
              <c:ext xmlns:c16="http://schemas.microsoft.com/office/drawing/2014/chart" uri="{C3380CC4-5D6E-409C-BE32-E72D297353CC}">
                <c16:uniqueId val="{0000000F-B35B-4706-8922-75067C6D59B2}"/>
              </c:ext>
            </c:extLst>
          </c:dPt>
          <c:dPt>
            <c:idx val="8"/>
            <c:invertIfNegative val="0"/>
            <c:bubble3D val="0"/>
            <c:extLst>
              <c:ext xmlns:c16="http://schemas.microsoft.com/office/drawing/2014/chart" uri="{C3380CC4-5D6E-409C-BE32-E72D297353CC}">
                <c16:uniqueId val="{00000011-B35B-4706-8922-75067C6D59B2}"/>
              </c:ext>
            </c:extLst>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Pivot_Table!$H$2:$H$7</c:f>
              <c:strCache>
                <c:ptCount val="5"/>
                <c:pt idx="0">
                  <c:v>Cake</c:v>
                </c:pt>
                <c:pt idx="1">
                  <c:v>Pasta</c:v>
                </c:pt>
                <c:pt idx="2">
                  <c:v>Fries</c:v>
                </c:pt>
                <c:pt idx="3">
                  <c:v>Brownie</c:v>
                </c:pt>
                <c:pt idx="4">
                  <c:v>Pizza</c:v>
                </c:pt>
              </c:strCache>
            </c:strRef>
          </c:cat>
          <c:val>
            <c:numRef>
              <c:f>Pivot_Table!$I$2:$I$7</c:f>
              <c:numCache>
                <c:formatCode>_("$"* #,##0_);_("$"* \(#,##0\);_("$"* "-"??_);_(@_)</c:formatCode>
                <c:ptCount val="5"/>
                <c:pt idx="0">
                  <c:v>2236.58</c:v>
                </c:pt>
                <c:pt idx="1">
                  <c:v>2267.7299999999996</c:v>
                </c:pt>
                <c:pt idx="2">
                  <c:v>2340.48</c:v>
                </c:pt>
                <c:pt idx="3">
                  <c:v>2570.1899999999996</c:v>
                </c:pt>
                <c:pt idx="4">
                  <c:v>2627.89</c:v>
                </c:pt>
              </c:numCache>
            </c:numRef>
          </c:val>
          <c:extLst>
            <c:ext xmlns:c16="http://schemas.microsoft.com/office/drawing/2014/chart" uri="{C3380CC4-5D6E-409C-BE32-E72D297353CC}">
              <c16:uniqueId val="{00000012-B35B-4706-8922-75067C6D59B2}"/>
            </c:ext>
          </c:extLst>
        </c:ser>
        <c:dLbls>
          <c:dLblPos val="outEnd"/>
          <c:showLegendKey val="0"/>
          <c:showVal val="1"/>
          <c:showCatName val="0"/>
          <c:showSerName val="0"/>
          <c:showPercent val="0"/>
          <c:showBubbleSize val="0"/>
        </c:dLbls>
        <c:gapWidth val="182"/>
        <c:axId val="1240152943"/>
        <c:axId val="1240153423"/>
      </c:barChart>
      <c:catAx>
        <c:axId val="1240152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rgbClr val="7A6230"/>
                </a:solidFill>
                <a:latin typeface="+mn-lt"/>
                <a:ea typeface="+mn-ea"/>
                <a:cs typeface="+mn-cs"/>
              </a:defRPr>
            </a:pPr>
            <a:endParaRPr lang="en-US"/>
          </a:p>
        </c:txPr>
        <c:crossAx val="1240153423"/>
        <c:crosses val="autoZero"/>
        <c:auto val="1"/>
        <c:lblAlgn val="ctr"/>
        <c:lblOffset val="100"/>
        <c:noMultiLvlLbl val="0"/>
      </c:catAx>
      <c:valAx>
        <c:axId val="1240153423"/>
        <c:scaling>
          <c:orientation val="minMax"/>
        </c:scaling>
        <c:delete val="1"/>
        <c:axPos val="b"/>
        <c:numFmt formatCode="_(&quot;$&quot;* #,##0_);_(&quot;$&quot;* \(#,##0\);_(&quot;$&quot;* &quot;-&quot;??_);_(@_)" sourceLinked="1"/>
        <c:majorTickMark val="none"/>
        <c:minorTickMark val="none"/>
        <c:tickLblPos val="nextTo"/>
        <c:crossAx val="124015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accent4">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[Restaurant.xlsx]Pivot_Table!PivotTable18</c:name>
    <c:fmtId val="25"/>
  </c:pivotSource>
  <c:chart>
    <c:title>
      <c:tx>
        <c:rich>
          <a:bodyPr rot="0" spcFirstLastPara="1" vertOverflow="ellipsis" vert="horz" wrap="square" anchor="ctr" anchorCtr="1"/>
          <a:lstStyle/>
          <a:p>
            <a:pPr>
              <a:defRPr sz="1400" b="1" i="0" u="none" strike="noStrike" kern="1200" spc="0" baseline="0">
                <a:solidFill>
                  <a:srgbClr val="7A6230"/>
                </a:solidFill>
                <a:latin typeface="+mn-lt"/>
                <a:ea typeface="+mn-ea"/>
                <a:cs typeface="+mn-cs"/>
              </a:defRPr>
            </a:pPr>
            <a:r>
              <a:rPr lang="en-US" sz="800" b="1">
                <a:solidFill>
                  <a:srgbClr val="7A6230"/>
                </a:solidFill>
              </a:rPr>
              <a:t>Sales</a:t>
            </a:r>
            <a:r>
              <a:rPr lang="en-US" sz="800" b="1" baseline="0">
                <a:solidFill>
                  <a:srgbClr val="7A6230"/>
                </a:solidFill>
              </a:rPr>
              <a:t> by time period</a:t>
            </a:r>
            <a:endParaRPr lang="en-US" sz="800" b="1">
              <a:solidFill>
                <a:srgbClr val="7A6230"/>
              </a:solidFill>
            </a:endParaRPr>
          </a:p>
        </c:rich>
      </c:tx>
      <c:layout>
        <c:manualLayout>
          <c:xMode val="edge"/>
          <c:yMode val="edge"/>
          <c:x val="3.0666666666666686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7A623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C4A1E"/>
          </a:solidFill>
          <a:ln>
            <a:noFill/>
          </a:ln>
          <a:effectLst/>
        </c:spPr>
      </c:pivotFmt>
      <c:pivotFmt>
        <c:idx val="4"/>
        <c:spPr>
          <a:solidFill>
            <a:srgbClr val="9E7F3F"/>
          </a:solidFill>
          <a:ln>
            <a:noFill/>
          </a:ln>
          <a:effectLst/>
        </c:spPr>
      </c:pivotFmt>
      <c:pivotFmt>
        <c:idx val="5"/>
        <c:spPr>
          <a:solidFill>
            <a:srgbClr val="C4A45A"/>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E7F3F"/>
          </a:solidFill>
          <a:ln>
            <a:noFill/>
          </a:ln>
          <a:effectLst/>
        </c:spPr>
      </c:pivotFmt>
      <c:pivotFmt>
        <c:idx val="8"/>
        <c:spPr>
          <a:solidFill>
            <a:srgbClr val="C4A45A"/>
          </a:solidFill>
          <a:ln>
            <a:noFill/>
          </a:ln>
          <a:effectLst/>
        </c:spPr>
      </c:pivotFmt>
      <c:pivotFmt>
        <c:idx val="9"/>
        <c:spPr>
          <a:solidFill>
            <a:srgbClr val="5C4A1E"/>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E7F3F"/>
          </a:solidFill>
          <a:ln>
            <a:noFill/>
          </a:ln>
          <a:effectLst/>
        </c:spPr>
      </c:pivotFmt>
      <c:pivotFmt>
        <c:idx val="12"/>
        <c:spPr>
          <a:solidFill>
            <a:srgbClr val="C4A45A"/>
          </a:solidFill>
          <a:ln>
            <a:noFill/>
          </a:ln>
          <a:effectLst/>
        </c:spPr>
      </c:pivotFmt>
      <c:pivotFmt>
        <c:idx val="13"/>
        <c:spPr>
          <a:solidFill>
            <a:srgbClr val="5C4A1E"/>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E7F3F"/>
          </a:solidFill>
          <a:ln>
            <a:noFill/>
          </a:ln>
          <a:effectLst/>
        </c:spPr>
      </c:pivotFmt>
      <c:pivotFmt>
        <c:idx val="16"/>
        <c:spPr>
          <a:solidFill>
            <a:srgbClr val="C4A45A"/>
          </a:solidFill>
          <a:ln>
            <a:noFill/>
          </a:ln>
          <a:effectLst/>
        </c:spPr>
      </c:pivotFmt>
      <c:pivotFmt>
        <c:idx val="17"/>
        <c:spPr>
          <a:solidFill>
            <a:srgbClr val="5C4A1E"/>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9E7F3F"/>
          </a:solidFill>
          <a:ln>
            <a:noFill/>
          </a:ln>
          <a:effectLst/>
        </c:spPr>
      </c:pivotFmt>
      <c:pivotFmt>
        <c:idx val="20"/>
        <c:spPr>
          <a:solidFill>
            <a:srgbClr val="C4A45A"/>
          </a:solidFill>
          <a:ln>
            <a:noFill/>
          </a:ln>
          <a:effectLst/>
        </c:spPr>
      </c:pivotFmt>
      <c:pivotFmt>
        <c:idx val="21"/>
        <c:spPr>
          <a:solidFill>
            <a:srgbClr val="5C4A1E"/>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9E7F3F"/>
          </a:solidFill>
          <a:ln>
            <a:noFill/>
          </a:ln>
          <a:effectLst/>
        </c:spPr>
      </c:pivotFmt>
      <c:pivotFmt>
        <c:idx val="24"/>
        <c:spPr>
          <a:solidFill>
            <a:srgbClr val="C4A45A"/>
          </a:solidFill>
          <a:ln>
            <a:noFill/>
          </a:ln>
          <a:effectLst/>
        </c:spPr>
      </c:pivotFmt>
      <c:pivotFmt>
        <c:idx val="25"/>
        <c:spPr>
          <a:solidFill>
            <a:srgbClr val="5C4A1E"/>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9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9E7F3F"/>
          </a:solidFill>
          <a:ln>
            <a:noFill/>
          </a:ln>
          <a:effectLst/>
        </c:spPr>
      </c:pivotFmt>
      <c:pivotFmt>
        <c:idx val="28"/>
        <c:spPr>
          <a:solidFill>
            <a:srgbClr val="C4A45A"/>
          </a:solidFill>
          <a:ln>
            <a:noFill/>
          </a:ln>
          <a:effectLst/>
        </c:spPr>
      </c:pivotFmt>
      <c:pivotFmt>
        <c:idx val="29"/>
        <c:spPr>
          <a:solidFill>
            <a:srgbClr val="5C4A1E"/>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9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9E7F3F"/>
          </a:solidFill>
          <a:ln>
            <a:noFill/>
          </a:ln>
          <a:effectLst/>
        </c:spPr>
      </c:pivotFmt>
      <c:pivotFmt>
        <c:idx val="32"/>
        <c:spPr>
          <a:solidFill>
            <a:srgbClr val="C4A45A"/>
          </a:solidFill>
          <a:ln>
            <a:noFill/>
          </a:ln>
          <a:effectLst/>
        </c:spPr>
      </c:pivotFmt>
      <c:pivotFmt>
        <c:idx val="33"/>
        <c:spPr>
          <a:solidFill>
            <a:srgbClr val="5C4A1E"/>
          </a:solidFill>
          <a:ln>
            <a:noFill/>
          </a:ln>
          <a:effectLst/>
        </c:spPr>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3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9E7F3F"/>
          </a:solidFill>
          <a:ln>
            <a:noFill/>
          </a:ln>
          <a:effectLst/>
        </c:spPr>
      </c:pivotFmt>
      <c:pivotFmt>
        <c:idx val="36"/>
        <c:spPr>
          <a:solidFill>
            <a:srgbClr val="C4A45A"/>
          </a:solidFill>
          <a:ln>
            <a:noFill/>
          </a:ln>
          <a:effectLst/>
        </c:spPr>
      </c:pivotFmt>
      <c:pivotFmt>
        <c:idx val="37"/>
        <c:spPr>
          <a:solidFill>
            <a:srgbClr val="5C4A1E"/>
          </a:solidFill>
          <a:ln>
            <a:noFill/>
          </a:ln>
          <a:effectLst/>
        </c:spP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3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9E7F3F"/>
          </a:solidFill>
          <a:ln>
            <a:noFill/>
          </a:ln>
          <a:effectLst/>
        </c:spPr>
      </c:pivotFmt>
      <c:pivotFmt>
        <c:idx val="40"/>
        <c:spPr>
          <a:solidFill>
            <a:srgbClr val="C4A45A"/>
          </a:solidFill>
          <a:ln>
            <a:noFill/>
          </a:ln>
          <a:effectLst/>
        </c:spPr>
      </c:pivotFmt>
      <c:pivotFmt>
        <c:idx val="41"/>
        <c:spPr>
          <a:solidFill>
            <a:srgbClr val="5C4A1E"/>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3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9E7F3F"/>
          </a:solidFill>
          <a:ln>
            <a:noFill/>
          </a:ln>
          <a:effectLst/>
        </c:spPr>
      </c:pivotFmt>
      <c:pivotFmt>
        <c:idx val="44"/>
        <c:spPr>
          <a:solidFill>
            <a:srgbClr val="C4A45A"/>
          </a:solidFill>
          <a:ln>
            <a:noFill/>
          </a:ln>
          <a:effectLst/>
        </c:spPr>
      </c:pivotFmt>
      <c:pivotFmt>
        <c:idx val="45"/>
        <c:spPr>
          <a:solidFill>
            <a:srgbClr val="5C4A1E"/>
          </a:solidFill>
          <a:ln>
            <a:noFill/>
          </a:ln>
          <a:effectLst/>
        </c:spPr>
      </c:pivotFmt>
    </c:pivotFmts>
    <c:plotArea>
      <c:layout>
        <c:manualLayout>
          <c:layoutTarget val="inner"/>
          <c:xMode val="edge"/>
          <c:yMode val="edge"/>
          <c:x val="0.15422506686408577"/>
          <c:y val="0.23237695816152432"/>
          <c:w val="0.73980882105304679"/>
          <c:h val="0.45268549278352688"/>
        </c:manualLayout>
      </c:layout>
      <c:barChart>
        <c:barDir val="col"/>
        <c:grouping val="clustered"/>
        <c:varyColors val="0"/>
        <c:ser>
          <c:idx val="0"/>
          <c:order val="0"/>
          <c:tx>
            <c:strRef>
              <c:f>Pivot_Table!$L$2</c:f>
              <c:strCache>
                <c:ptCount val="1"/>
                <c:pt idx="0">
                  <c:v>Total</c:v>
                </c:pt>
              </c:strCache>
            </c:strRef>
          </c:tx>
          <c:spPr>
            <a:solidFill>
              <a:schemeClr val="accent1"/>
            </a:solidFill>
            <a:ln>
              <a:noFill/>
            </a:ln>
            <a:effectLst/>
          </c:spPr>
          <c:invertIfNegative val="0"/>
          <c:dPt>
            <c:idx val="0"/>
            <c:invertIfNegative val="0"/>
            <c:bubble3D val="0"/>
            <c:spPr>
              <a:solidFill>
                <a:srgbClr val="9E7F3F"/>
              </a:solidFill>
              <a:ln>
                <a:noFill/>
              </a:ln>
              <a:effectLst/>
            </c:spPr>
            <c:extLst>
              <c:ext xmlns:c16="http://schemas.microsoft.com/office/drawing/2014/chart" uri="{C3380CC4-5D6E-409C-BE32-E72D297353CC}">
                <c16:uniqueId val="{00000001-1274-4621-B459-1F4B8E57A848}"/>
              </c:ext>
            </c:extLst>
          </c:dPt>
          <c:dPt>
            <c:idx val="1"/>
            <c:invertIfNegative val="0"/>
            <c:bubble3D val="0"/>
            <c:spPr>
              <a:solidFill>
                <a:srgbClr val="C4A45A"/>
              </a:solidFill>
              <a:ln>
                <a:noFill/>
              </a:ln>
              <a:effectLst/>
            </c:spPr>
            <c:extLst>
              <c:ext xmlns:c16="http://schemas.microsoft.com/office/drawing/2014/chart" uri="{C3380CC4-5D6E-409C-BE32-E72D297353CC}">
                <c16:uniqueId val="{00000003-1274-4621-B459-1F4B8E57A848}"/>
              </c:ext>
            </c:extLst>
          </c:dPt>
          <c:dPt>
            <c:idx val="2"/>
            <c:invertIfNegative val="0"/>
            <c:bubble3D val="0"/>
            <c:spPr>
              <a:solidFill>
                <a:srgbClr val="5C4A1E"/>
              </a:solidFill>
              <a:ln>
                <a:noFill/>
              </a:ln>
              <a:effectLst/>
            </c:spPr>
            <c:extLst>
              <c:ext xmlns:c16="http://schemas.microsoft.com/office/drawing/2014/chart" uri="{C3380CC4-5D6E-409C-BE32-E72D297353CC}">
                <c16:uniqueId val="{00000005-1274-4621-B459-1F4B8E57A848}"/>
              </c:ext>
            </c:extLst>
          </c:dPt>
          <c:dLbls>
            <c:spPr>
              <a:noFill/>
              <a:ln>
                <a:noFill/>
              </a:ln>
              <a:effectLst/>
            </c:spPr>
            <c:txPr>
              <a:bodyPr rot="0" spcFirstLastPara="1" vertOverflow="ellipsis" vert="horz" wrap="square" lIns="38100" tIns="19050" rIns="38100" bIns="19050" anchor="ctr" anchorCtr="1">
                <a:spAutoFit/>
              </a:bodyPr>
              <a:lstStyle/>
              <a:p>
                <a:pPr>
                  <a:defRPr sz="53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Pivot_Table!$K$3:$K$6</c:f>
              <c:strCache>
                <c:ptCount val="3"/>
                <c:pt idx="0">
                  <c:v>Afternoon</c:v>
                </c:pt>
                <c:pt idx="1">
                  <c:v>Evening</c:v>
                </c:pt>
                <c:pt idx="2">
                  <c:v>Morning</c:v>
                </c:pt>
              </c:strCache>
            </c:strRef>
          </c:cat>
          <c:val>
            <c:numRef>
              <c:f>Pivot_Table!$L$3:$L$6</c:f>
              <c:numCache>
                <c:formatCode>_("$"* #,##0_);_("$"* \(#,##0\);_("$"* "-"??_);_(@_)</c:formatCode>
                <c:ptCount val="3"/>
                <c:pt idx="0">
                  <c:v>6027.89</c:v>
                </c:pt>
                <c:pt idx="1">
                  <c:v>4568.340000000002</c:v>
                </c:pt>
                <c:pt idx="2">
                  <c:v>9426.909999999998</c:v>
                </c:pt>
              </c:numCache>
            </c:numRef>
          </c:val>
          <c:extLst>
            <c:ext xmlns:c16="http://schemas.microsoft.com/office/drawing/2014/chart" uri="{C3380CC4-5D6E-409C-BE32-E72D297353CC}">
              <c16:uniqueId val="{00000006-1274-4621-B459-1F4B8E57A848}"/>
            </c:ext>
          </c:extLst>
        </c:ser>
        <c:dLbls>
          <c:dLblPos val="outEnd"/>
          <c:showLegendKey val="0"/>
          <c:showVal val="1"/>
          <c:showCatName val="0"/>
          <c:showSerName val="0"/>
          <c:showPercent val="0"/>
          <c:showBubbleSize val="0"/>
        </c:dLbls>
        <c:gapWidth val="219"/>
        <c:overlap val="-27"/>
        <c:axId val="1249297055"/>
        <c:axId val="1249296095"/>
      </c:barChart>
      <c:catAx>
        <c:axId val="124929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rgbClr val="7A6230"/>
                </a:solidFill>
                <a:latin typeface="+mn-lt"/>
                <a:ea typeface="+mn-ea"/>
                <a:cs typeface="+mn-cs"/>
              </a:defRPr>
            </a:pPr>
            <a:endParaRPr lang="en-US"/>
          </a:p>
        </c:txPr>
        <c:crossAx val="1249296095"/>
        <c:crosses val="autoZero"/>
        <c:auto val="1"/>
        <c:lblAlgn val="ctr"/>
        <c:lblOffset val="100"/>
        <c:noMultiLvlLbl val="0"/>
      </c:catAx>
      <c:valAx>
        <c:axId val="1249296095"/>
        <c:scaling>
          <c:orientation val="minMax"/>
        </c:scaling>
        <c:delete val="1"/>
        <c:axPos val="l"/>
        <c:numFmt formatCode="_(&quot;$&quot;* #,##0_);_(&quot;$&quot;* \(#,##0\);_(&quot;$&quot;* &quot;-&quot;??_);_(@_)" sourceLinked="1"/>
        <c:majorTickMark val="none"/>
        <c:minorTickMark val="none"/>
        <c:tickLblPos val="nextTo"/>
        <c:crossAx val="124929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[Restaurant.xlsx]Pivot_Table!PivotTable19</c:name>
    <c:fmtId val="19"/>
  </c:pivotSource>
  <c:chart>
    <c:title>
      <c:tx>
        <c:rich>
          <a:bodyPr rot="0" spcFirstLastPara="1" vertOverflow="ellipsis" vert="horz" wrap="square" anchor="ctr" anchorCtr="1"/>
          <a:lstStyle/>
          <a:p>
            <a:pPr>
              <a:defRPr sz="800" b="1" i="0" u="none" strike="noStrike" kern="1200" spc="0" baseline="0">
                <a:solidFill>
                  <a:srgbClr val="7A6230"/>
                </a:solidFill>
                <a:latin typeface="+mn-lt"/>
                <a:ea typeface="+mn-ea"/>
                <a:cs typeface="+mn-cs"/>
              </a:defRPr>
            </a:pPr>
            <a:r>
              <a:rPr lang="en-US" sz="800" b="1">
                <a:solidFill>
                  <a:srgbClr val="7A6230"/>
                </a:solidFill>
              </a:rPr>
              <a:t>Sales by payment method</a:t>
            </a:r>
          </a:p>
        </c:rich>
      </c:tx>
      <c:layout>
        <c:manualLayout>
          <c:xMode val="edge"/>
          <c:yMode val="edge"/>
          <c:x val="3.2777777777777774E-2"/>
          <c:y val="3.2407407407407406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rgbClr val="7A623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C4A1E"/>
          </a:solidFill>
          <a:ln>
            <a:noFill/>
          </a:ln>
          <a:effectLst/>
        </c:spPr>
        <c:dLbl>
          <c:idx val="0"/>
          <c:layout>
            <c:manualLayout>
              <c:x val="2.5043298801992629E-3"/>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A6230"/>
          </a:solidFill>
          <a:ln>
            <a:noFill/>
          </a:ln>
          <a:effectLst/>
        </c:spPr>
      </c:pivotFmt>
      <c:pivotFmt>
        <c:idx val="5"/>
        <c:spPr>
          <a:solidFill>
            <a:srgbClr val="9E7F3F"/>
          </a:solidFill>
          <a:ln>
            <a:noFill/>
          </a:ln>
          <a:effectLst/>
        </c:spPr>
      </c:pivotFmt>
      <c:pivotFmt>
        <c:idx val="6"/>
        <c:spPr>
          <a:solidFill>
            <a:srgbClr val="C4A45A"/>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A6230"/>
          </a:solidFill>
          <a:ln>
            <a:noFill/>
          </a:ln>
          <a:effectLst/>
        </c:spPr>
      </c:pivotFmt>
      <c:pivotFmt>
        <c:idx val="9"/>
        <c:spPr>
          <a:solidFill>
            <a:srgbClr val="5C4A1E"/>
          </a:solidFill>
          <a:ln>
            <a:noFill/>
          </a:ln>
          <a:effectLst/>
        </c:spPr>
        <c:dLbl>
          <c:idx val="0"/>
          <c:layout>
            <c:manualLayout>
              <c:x val="2.5043298801992629E-3"/>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4A45A"/>
          </a:solidFill>
          <a:ln>
            <a:noFill/>
          </a:ln>
          <a:effectLst/>
        </c:spPr>
      </c:pivotFmt>
      <c:pivotFmt>
        <c:idx val="11"/>
        <c:spPr>
          <a:solidFill>
            <a:srgbClr val="9E7F3F"/>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A6230"/>
          </a:solidFill>
          <a:ln>
            <a:noFill/>
          </a:ln>
          <a:effectLst/>
        </c:spPr>
      </c:pivotFmt>
      <c:pivotFmt>
        <c:idx val="14"/>
        <c:spPr>
          <a:solidFill>
            <a:srgbClr val="5C4A1E"/>
          </a:solidFill>
          <a:ln>
            <a:noFill/>
          </a:ln>
          <a:effectLst/>
        </c:spPr>
        <c:dLbl>
          <c:idx val="0"/>
          <c:layout>
            <c:manualLayout>
              <c:x val="2.5043298801992629E-3"/>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C4A45A"/>
          </a:solidFill>
          <a:ln>
            <a:noFill/>
          </a:ln>
          <a:effectLst/>
        </c:spPr>
      </c:pivotFmt>
      <c:pivotFmt>
        <c:idx val="16"/>
        <c:spPr>
          <a:solidFill>
            <a:srgbClr val="9E7F3F"/>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7A6230"/>
          </a:solidFill>
          <a:ln>
            <a:noFill/>
          </a:ln>
          <a:effectLst/>
        </c:spPr>
      </c:pivotFmt>
      <c:pivotFmt>
        <c:idx val="19"/>
        <c:spPr>
          <a:solidFill>
            <a:srgbClr val="5C4A1E"/>
          </a:solidFill>
          <a:ln>
            <a:noFill/>
          </a:ln>
          <a:effectLst/>
        </c:spPr>
        <c:dLbl>
          <c:idx val="0"/>
          <c:layout>
            <c:manualLayout>
              <c:x val="2.5043298801992629E-3"/>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4A45A"/>
          </a:solidFill>
          <a:ln>
            <a:noFill/>
          </a:ln>
          <a:effectLst/>
        </c:spPr>
      </c:pivotFmt>
      <c:pivotFmt>
        <c:idx val="21"/>
        <c:spPr>
          <a:solidFill>
            <a:srgbClr val="9E7F3F"/>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7A6230"/>
          </a:solidFill>
          <a:ln>
            <a:noFill/>
          </a:ln>
          <a:effectLst/>
        </c:spPr>
      </c:pivotFmt>
      <c:pivotFmt>
        <c:idx val="24"/>
        <c:spPr>
          <a:solidFill>
            <a:srgbClr val="5C4A1E"/>
          </a:solidFill>
          <a:ln>
            <a:noFill/>
          </a:ln>
          <a:effectLst/>
        </c:spPr>
        <c:dLbl>
          <c:idx val="0"/>
          <c:layout>
            <c:manualLayout>
              <c:x val="2.5043298801992629E-3"/>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C4A45A"/>
          </a:solidFill>
          <a:ln>
            <a:noFill/>
          </a:ln>
          <a:effectLst/>
        </c:spPr>
      </c:pivotFmt>
      <c:pivotFmt>
        <c:idx val="26"/>
        <c:spPr>
          <a:solidFill>
            <a:srgbClr val="9E7F3F"/>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7A6230"/>
          </a:solidFill>
          <a:ln>
            <a:noFill/>
          </a:ln>
          <a:effectLst/>
        </c:spPr>
      </c:pivotFmt>
      <c:pivotFmt>
        <c:idx val="29"/>
        <c:spPr>
          <a:solidFill>
            <a:srgbClr val="5C4A1E"/>
          </a:solidFill>
          <a:ln>
            <a:noFill/>
          </a:ln>
          <a:effectLst/>
        </c:spPr>
        <c:dLbl>
          <c:idx val="0"/>
          <c:layout>
            <c:manualLayout>
              <c:x val="2.5043298801992629E-3"/>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C4A45A"/>
          </a:solidFill>
          <a:ln>
            <a:noFill/>
          </a:ln>
          <a:effectLst/>
        </c:spPr>
      </c:pivotFmt>
      <c:pivotFmt>
        <c:idx val="31"/>
        <c:spPr>
          <a:solidFill>
            <a:srgbClr val="9E7F3F"/>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7A6230"/>
          </a:solidFill>
          <a:ln>
            <a:noFill/>
          </a:ln>
          <a:effectLst/>
        </c:spPr>
      </c:pivotFmt>
      <c:pivotFmt>
        <c:idx val="34"/>
        <c:spPr>
          <a:solidFill>
            <a:srgbClr val="5C4A1E"/>
          </a:solidFill>
          <a:ln>
            <a:noFill/>
          </a:ln>
          <a:effectLst/>
        </c:spPr>
        <c:dLbl>
          <c:idx val="0"/>
          <c:layout>
            <c:manualLayout>
              <c:x val="2.5043298801992629E-3"/>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4A45A"/>
          </a:solidFill>
          <a:ln>
            <a:noFill/>
          </a:ln>
          <a:effectLst/>
        </c:spPr>
      </c:pivotFmt>
      <c:pivotFmt>
        <c:idx val="36"/>
        <c:spPr>
          <a:solidFill>
            <a:srgbClr val="9E7F3F"/>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7A6230"/>
          </a:solidFill>
          <a:ln>
            <a:noFill/>
          </a:ln>
          <a:effectLst/>
        </c:spPr>
      </c:pivotFmt>
      <c:pivotFmt>
        <c:idx val="39"/>
        <c:spPr>
          <a:solidFill>
            <a:srgbClr val="5C4A1E"/>
          </a:solidFill>
          <a:ln>
            <a:noFill/>
          </a:ln>
          <a:effectLst/>
        </c:spPr>
        <c:dLbl>
          <c:idx val="0"/>
          <c:layout>
            <c:manualLayout>
              <c:x val="2.5043298801992629E-3"/>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C4A45A"/>
          </a:solidFill>
          <a:ln>
            <a:noFill/>
          </a:ln>
          <a:effectLst/>
        </c:spPr>
      </c:pivotFmt>
      <c:pivotFmt>
        <c:idx val="41"/>
        <c:spPr>
          <a:solidFill>
            <a:srgbClr val="9E7F3F"/>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7A6230"/>
          </a:solidFill>
          <a:ln>
            <a:noFill/>
          </a:ln>
          <a:effectLst/>
        </c:spPr>
      </c:pivotFmt>
      <c:pivotFmt>
        <c:idx val="44"/>
        <c:spPr>
          <a:solidFill>
            <a:srgbClr val="5C4A1E"/>
          </a:solidFill>
          <a:ln>
            <a:noFill/>
          </a:ln>
          <a:effectLst/>
        </c:spPr>
        <c:dLbl>
          <c:idx val="0"/>
          <c:layout>
            <c:manualLayout>
              <c:x val="2.5043298801992629E-3"/>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C4A45A"/>
          </a:solidFill>
          <a:ln>
            <a:noFill/>
          </a:ln>
          <a:effectLst/>
        </c:spPr>
      </c:pivotFmt>
      <c:pivotFmt>
        <c:idx val="46"/>
        <c:spPr>
          <a:solidFill>
            <a:srgbClr val="9E7F3F"/>
          </a:solidFill>
          <a:ln>
            <a:noFill/>
          </a:ln>
          <a:effectLst/>
        </c:spPr>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7A6230"/>
          </a:solidFill>
          <a:ln>
            <a:noFill/>
          </a:ln>
          <a:effectLst/>
        </c:spPr>
      </c:pivotFmt>
      <c:pivotFmt>
        <c:idx val="49"/>
        <c:spPr>
          <a:solidFill>
            <a:srgbClr val="5C4A1E"/>
          </a:solidFill>
          <a:ln>
            <a:noFill/>
          </a:ln>
          <a:effectLst/>
        </c:spPr>
        <c:dLbl>
          <c:idx val="0"/>
          <c:layout>
            <c:manualLayout>
              <c:x val="2.5043298801992629E-3"/>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C4A45A"/>
          </a:solidFill>
          <a:ln>
            <a:noFill/>
          </a:ln>
          <a:effectLst/>
        </c:spPr>
      </c:pivotFmt>
      <c:pivotFmt>
        <c:idx val="51"/>
        <c:spPr>
          <a:solidFill>
            <a:srgbClr val="9E7F3F"/>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7A6230"/>
          </a:solidFill>
          <a:ln>
            <a:noFill/>
          </a:ln>
          <a:effectLst/>
        </c:spPr>
      </c:pivotFmt>
      <c:pivotFmt>
        <c:idx val="54"/>
        <c:spPr>
          <a:solidFill>
            <a:srgbClr val="5C4A1E"/>
          </a:solidFill>
          <a:ln>
            <a:noFill/>
          </a:ln>
          <a:effectLst/>
        </c:spPr>
        <c:dLbl>
          <c:idx val="0"/>
          <c:layout>
            <c:manualLayout>
              <c:x val="2.5043298801992629E-3"/>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C4A45A"/>
          </a:solidFill>
          <a:ln>
            <a:noFill/>
          </a:ln>
          <a:effectLst/>
        </c:spPr>
      </c:pivotFmt>
      <c:pivotFmt>
        <c:idx val="56"/>
        <c:spPr>
          <a:solidFill>
            <a:srgbClr val="9E7F3F"/>
          </a:solidFill>
          <a:ln>
            <a:noFill/>
          </a:ln>
          <a:effectLst/>
        </c:spPr>
      </c:pivotFmt>
    </c:pivotFmts>
    <c:plotArea>
      <c:layout>
        <c:manualLayout>
          <c:layoutTarget val="inner"/>
          <c:xMode val="edge"/>
          <c:yMode val="edge"/>
          <c:x val="0.28731325869066066"/>
          <c:y val="0.17171296296296296"/>
          <c:w val="0.63126909468192749"/>
          <c:h val="0.77736111111111106"/>
        </c:manualLayout>
      </c:layout>
      <c:barChart>
        <c:barDir val="bar"/>
        <c:grouping val="clustered"/>
        <c:varyColors val="0"/>
        <c:ser>
          <c:idx val="0"/>
          <c:order val="0"/>
          <c:tx>
            <c:strRef>
              <c:f>Pivot_Table!$O$2</c:f>
              <c:strCache>
                <c:ptCount val="1"/>
                <c:pt idx="0">
                  <c:v>Total</c:v>
                </c:pt>
              </c:strCache>
            </c:strRef>
          </c:tx>
          <c:spPr>
            <a:solidFill>
              <a:schemeClr val="accent1"/>
            </a:solidFill>
            <a:ln>
              <a:noFill/>
            </a:ln>
            <a:effectLst/>
          </c:spPr>
          <c:invertIfNegative val="0"/>
          <c:dPt>
            <c:idx val="0"/>
            <c:invertIfNegative val="0"/>
            <c:bubble3D val="0"/>
            <c:spPr>
              <a:solidFill>
                <a:srgbClr val="7A6230"/>
              </a:solidFill>
              <a:ln>
                <a:noFill/>
              </a:ln>
              <a:effectLst/>
            </c:spPr>
            <c:extLst>
              <c:ext xmlns:c16="http://schemas.microsoft.com/office/drawing/2014/chart" uri="{C3380CC4-5D6E-409C-BE32-E72D297353CC}">
                <c16:uniqueId val="{00000001-C861-4C61-9DDE-423CF1561242}"/>
              </c:ext>
            </c:extLst>
          </c:dPt>
          <c:dPt>
            <c:idx val="1"/>
            <c:invertIfNegative val="0"/>
            <c:bubble3D val="0"/>
            <c:spPr>
              <a:solidFill>
                <a:srgbClr val="5C4A1E"/>
              </a:solidFill>
              <a:ln>
                <a:noFill/>
              </a:ln>
              <a:effectLst/>
            </c:spPr>
            <c:extLst>
              <c:ext xmlns:c16="http://schemas.microsoft.com/office/drawing/2014/chart" uri="{C3380CC4-5D6E-409C-BE32-E72D297353CC}">
                <c16:uniqueId val="{00000003-C861-4C61-9DDE-423CF1561242}"/>
              </c:ext>
            </c:extLst>
          </c:dPt>
          <c:dPt>
            <c:idx val="2"/>
            <c:invertIfNegative val="0"/>
            <c:bubble3D val="0"/>
            <c:spPr>
              <a:solidFill>
                <a:srgbClr val="C4A45A"/>
              </a:solidFill>
              <a:ln>
                <a:noFill/>
              </a:ln>
              <a:effectLst/>
            </c:spPr>
            <c:extLst>
              <c:ext xmlns:c16="http://schemas.microsoft.com/office/drawing/2014/chart" uri="{C3380CC4-5D6E-409C-BE32-E72D297353CC}">
                <c16:uniqueId val="{00000005-C861-4C61-9DDE-423CF1561242}"/>
              </c:ext>
            </c:extLst>
          </c:dPt>
          <c:dPt>
            <c:idx val="3"/>
            <c:invertIfNegative val="0"/>
            <c:bubble3D val="0"/>
            <c:spPr>
              <a:solidFill>
                <a:srgbClr val="9E7F3F"/>
              </a:solidFill>
              <a:ln>
                <a:noFill/>
              </a:ln>
              <a:effectLst/>
            </c:spPr>
            <c:extLst>
              <c:ext xmlns:c16="http://schemas.microsoft.com/office/drawing/2014/chart" uri="{C3380CC4-5D6E-409C-BE32-E72D297353CC}">
                <c16:uniqueId val="{00000007-C861-4C61-9DDE-423CF1561242}"/>
              </c:ext>
            </c:extLst>
          </c:dPt>
          <c:dLbls>
            <c:dLbl>
              <c:idx val="1"/>
              <c:layout>
                <c:manualLayout>
                  <c:x val="2.5043298801992629E-3"/>
                  <c:y val="-1.38888888888889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61-4C61-9DDE-423CF1561242}"/>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Pivot_Table!$N$3:$N$7</c:f>
              <c:strCache>
                <c:ptCount val="4"/>
                <c:pt idx="0">
                  <c:v>Cash</c:v>
                </c:pt>
                <c:pt idx="1">
                  <c:v>Credit Card</c:v>
                </c:pt>
                <c:pt idx="2">
                  <c:v>Debit Card</c:v>
                </c:pt>
                <c:pt idx="3">
                  <c:v>Online Payment</c:v>
                </c:pt>
              </c:strCache>
            </c:strRef>
          </c:cat>
          <c:val>
            <c:numRef>
              <c:f>Pivot_Table!$O$3:$O$7</c:f>
              <c:numCache>
                <c:formatCode>_("$"* #,##0_);_("$"* \(#,##0\);_("$"* "-"??_);_(@_)</c:formatCode>
                <c:ptCount val="4"/>
                <c:pt idx="0">
                  <c:v>5197.680000000003</c:v>
                </c:pt>
                <c:pt idx="1">
                  <c:v>5322.9800000000014</c:v>
                </c:pt>
                <c:pt idx="2">
                  <c:v>4620.7300000000014</c:v>
                </c:pt>
                <c:pt idx="3">
                  <c:v>4881.75</c:v>
                </c:pt>
              </c:numCache>
            </c:numRef>
          </c:val>
          <c:extLst>
            <c:ext xmlns:c16="http://schemas.microsoft.com/office/drawing/2014/chart" uri="{C3380CC4-5D6E-409C-BE32-E72D297353CC}">
              <c16:uniqueId val="{00000008-C861-4C61-9DDE-423CF1561242}"/>
            </c:ext>
          </c:extLst>
        </c:ser>
        <c:dLbls>
          <c:dLblPos val="outEnd"/>
          <c:showLegendKey val="0"/>
          <c:showVal val="1"/>
          <c:showCatName val="0"/>
          <c:showSerName val="0"/>
          <c:showPercent val="0"/>
          <c:showBubbleSize val="0"/>
        </c:dLbls>
        <c:gapWidth val="182"/>
        <c:axId val="1405839359"/>
        <c:axId val="1405836959"/>
      </c:barChart>
      <c:catAx>
        <c:axId val="1405839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rgbClr val="7A6230"/>
                </a:solidFill>
                <a:latin typeface="+mn-lt"/>
                <a:ea typeface="+mn-ea"/>
                <a:cs typeface="+mn-cs"/>
              </a:defRPr>
            </a:pPr>
            <a:endParaRPr lang="en-US"/>
          </a:p>
        </c:txPr>
        <c:crossAx val="1405836959"/>
        <c:crosses val="autoZero"/>
        <c:auto val="1"/>
        <c:lblAlgn val="ctr"/>
        <c:lblOffset val="100"/>
        <c:noMultiLvlLbl val="0"/>
      </c:catAx>
      <c:valAx>
        <c:axId val="1405836959"/>
        <c:scaling>
          <c:orientation val="minMax"/>
        </c:scaling>
        <c:delete val="1"/>
        <c:axPos val="b"/>
        <c:numFmt formatCode="_(&quot;$&quot;* #,##0_);_(&quot;$&quot;* \(#,##0\);_(&quot;$&quot;* &quot;-&quot;??_);_(@_)" sourceLinked="1"/>
        <c:majorTickMark val="none"/>
        <c:minorTickMark val="none"/>
        <c:tickLblPos val="nextTo"/>
        <c:crossAx val="140583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[Restaurant.xlsx]Pivot_Table!PivotTable9</c:name>
    <c:fmtId val="20"/>
  </c:pivotSource>
  <c:chart>
    <c:title>
      <c:tx>
        <c:rich>
          <a:bodyPr rot="0" spcFirstLastPara="1" vertOverflow="ellipsis" vert="horz" wrap="square" anchor="ctr" anchorCtr="1"/>
          <a:lstStyle/>
          <a:p>
            <a:pPr>
              <a:defRPr sz="800" b="1" i="0" u="none" strike="noStrike" kern="1200" spc="0" baseline="0">
                <a:solidFill>
                  <a:srgbClr val="7A6230"/>
                </a:solidFill>
                <a:latin typeface="+mn-lt"/>
                <a:ea typeface="+mn-ea"/>
                <a:cs typeface="+mn-cs"/>
              </a:defRPr>
            </a:pPr>
            <a:r>
              <a:rPr lang="en-US" sz="800" b="1">
                <a:solidFill>
                  <a:srgbClr val="7A6230"/>
                </a:solidFill>
              </a:rPr>
              <a:t>Sales by day type</a:t>
            </a:r>
          </a:p>
        </c:rich>
      </c:tx>
      <c:layout>
        <c:manualLayout>
          <c:xMode val="edge"/>
          <c:yMode val="edge"/>
          <c:x val="3.5959692501092835E-2"/>
          <c:y val="3.8095238095238099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rgbClr val="7A623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C4A1E"/>
          </a:solidFill>
          <a:ln w="19050">
            <a:solidFill>
              <a:schemeClr val="lt1"/>
            </a:solidFill>
          </a:ln>
          <a:effectLst/>
        </c:spPr>
        <c:dLbl>
          <c:idx val="0"/>
          <c:layout>
            <c:manualLayout>
              <c:x val="0.16835746230629353"/>
              <c:y val="-0.3904761904761905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E7F3F"/>
          </a:solidFill>
          <a:ln w="19050">
            <a:solidFill>
              <a:schemeClr val="lt1"/>
            </a:solidFill>
          </a:ln>
          <a:effectLst/>
        </c:spPr>
        <c:dLbl>
          <c:idx val="0"/>
          <c:layout>
            <c:manualLayout>
              <c:x val="0.73913032232031306"/>
              <c:y val="0.3190476190476189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C4A1E"/>
          </a:solidFill>
          <a:ln w="19050">
            <a:solidFill>
              <a:schemeClr val="lt1"/>
            </a:solidFill>
          </a:ln>
          <a:effectLst/>
        </c:spPr>
        <c:dLbl>
          <c:idx val="0"/>
          <c:layout>
            <c:manualLayout>
              <c:x val="0.16835746230629353"/>
              <c:y val="-0.3904761904761905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E7F3F"/>
          </a:solidFill>
          <a:ln w="19050">
            <a:solidFill>
              <a:schemeClr val="lt1"/>
            </a:solidFill>
          </a:ln>
          <a:effectLst/>
        </c:spPr>
        <c:dLbl>
          <c:idx val="0"/>
          <c:layout>
            <c:manualLayout>
              <c:x val="0.73913032232031306"/>
              <c:y val="0.3190476190476189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C4A1E"/>
          </a:solidFill>
          <a:ln w="19050">
            <a:solidFill>
              <a:schemeClr val="lt1"/>
            </a:solidFill>
          </a:ln>
          <a:effectLst/>
        </c:spPr>
        <c:dLbl>
          <c:idx val="0"/>
          <c:layout>
            <c:manualLayout>
              <c:x val="0.16835746230629353"/>
              <c:y val="-0.3904761904761905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E7F3F"/>
          </a:solidFill>
          <a:ln w="19050">
            <a:solidFill>
              <a:schemeClr val="lt1"/>
            </a:solidFill>
          </a:ln>
          <a:effectLst/>
        </c:spPr>
        <c:dLbl>
          <c:idx val="0"/>
          <c:layout>
            <c:manualLayout>
              <c:x val="0.73913032232031306"/>
              <c:y val="0.3190476190476189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C4A1E"/>
          </a:solidFill>
          <a:ln w="19050">
            <a:solidFill>
              <a:schemeClr val="lt1"/>
            </a:solidFill>
          </a:ln>
          <a:effectLst/>
        </c:spPr>
        <c:dLbl>
          <c:idx val="0"/>
          <c:layout>
            <c:manualLayout>
              <c:x val="0.16835746230629353"/>
              <c:y val="-0.3904761904761905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E7F3F"/>
          </a:solidFill>
          <a:ln w="19050">
            <a:solidFill>
              <a:schemeClr val="lt1"/>
            </a:solidFill>
          </a:ln>
          <a:effectLst/>
        </c:spPr>
        <c:dLbl>
          <c:idx val="0"/>
          <c:layout>
            <c:manualLayout>
              <c:x val="0.73913032232031306"/>
              <c:y val="0.3190476190476189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5C4A1E"/>
          </a:solidFill>
          <a:ln w="19050">
            <a:solidFill>
              <a:schemeClr val="lt1"/>
            </a:solidFill>
          </a:ln>
          <a:effectLst/>
        </c:spPr>
        <c:dLbl>
          <c:idx val="0"/>
          <c:layout>
            <c:manualLayout>
              <c:x val="0.16835746230629353"/>
              <c:y val="-0.3904761904761905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9E7F3F"/>
          </a:solidFill>
          <a:ln w="19050">
            <a:solidFill>
              <a:schemeClr val="lt1"/>
            </a:solidFill>
          </a:ln>
          <a:effectLst/>
        </c:spPr>
        <c:dLbl>
          <c:idx val="0"/>
          <c:layout>
            <c:manualLayout>
              <c:x val="0.73913032232031306"/>
              <c:y val="0.3190476190476189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5C4A1E"/>
          </a:solidFill>
          <a:ln w="19050">
            <a:solidFill>
              <a:schemeClr val="lt1"/>
            </a:solidFill>
          </a:ln>
          <a:effectLst/>
        </c:spPr>
        <c:dLbl>
          <c:idx val="0"/>
          <c:layout>
            <c:manualLayout>
              <c:x val="0.16835746230629353"/>
              <c:y val="-0.3904761904761905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9E7F3F"/>
          </a:solidFill>
          <a:ln w="19050">
            <a:solidFill>
              <a:schemeClr val="lt1"/>
            </a:solidFill>
          </a:ln>
          <a:effectLst/>
        </c:spPr>
        <c:dLbl>
          <c:idx val="0"/>
          <c:layout>
            <c:manualLayout>
              <c:x val="0.73913032232031306"/>
              <c:y val="0.3190476190476189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C4A1E"/>
          </a:solidFill>
          <a:ln w="19050">
            <a:solidFill>
              <a:schemeClr val="lt1"/>
            </a:solidFill>
          </a:ln>
          <a:effectLst/>
        </c:spPr>
        <c:dLbl>
          <c:idx val="0"/>
          <c:layout>
            <c:manualLayout>
              <c:x val="0.18328318456286971"/>
              <c:y val="-0.2940398309787986"/>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9E7F3F"/>
          </a:solidFill>
          <a:ln w="19050">
            <a:solidFill>
              <a:schemeClr val="lt1"/>
            </a:solidFill>
          </a:ln>
          <a:effectLst/>
        </c:spPr>
        <c:dLbl>
          <c:idx val="0"/>
          <c:layout>
            <c:manualLayout>
              <c:x val="0.7167418921324995"/>
              <c:y val="0.45459105602226324"/>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5C4A1E"/>
          </a:solidFill>
          <a:ln w="19050">
            <a:solidFill>
              <a:schemeClr val="lt1"/>
            </a:solidFill>
          </a:ln>
          <a:effectLst/>
        </c:spPr>
        <c:dLbl>
          <c:idx val="0"/>
          <c:layout>
            <c:manualLayout>
              <c:x val="0.18328318456286971"/>
              <c:y val="-0.2940398309787986"/>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9E7F3F"/>
          </a:solidFill>
          <a:ln w="19050">
            <a:solidFill>
              <a:schemeClr val="lt1"/>
            </a:solidFill>
          </a:ln>
          <a:effectLst/>
        </c:spPr>
        <c:dLbl>
          <c:idx val="0"/>
          <c:layout>
            <c:manualLayout>
              <c:x val="0.7167418921324995"/>
              <c:y val="0.45459105602226324"/>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horzOverflow="clip" vert="horz" wrap="square" lIns="38100" tIns="19050" rIns="38100" bIns="19050" anchor="ctr" anchorCtr="1">
              <a:no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solidFill>
            <a:srgbClr val="5C4A1E"/>
          </a:solidFill>
          <a:ln w="19050">
            <a:solidFill>
              <a:schemeClr val="lt1"/>
            </a:solidFill>
          </a:ln>
          <a:effectLst/>
        </c:spPr>
        <c:dLbl>
          <c:idx val="0"/>
          <c:layout>
            <c:manualLayout>
              <c:x val="-0.46692690256556074"/>
              <c:y val="0.22421567945586188"/>
            </c:manualLayout>
          </c:layout>
          <c:spPr>
            <a:noFill/>
            <a:ln>
              <a:noFill/>
            </a:ln>
            <a:effectLst/>
          </c:spPr>
          <c:txPr>
            <a:bodyPr rot="0" spcFirstLastPara="1" vertOverflow="ellipsis" horzOverflow="clip" vert="horz" wrap="square" lIns="38100" tIns="19050" rIns="38100" bIns="19050" anchor="ctr" anchorCtr="1">
              <a:noAutofit/>
            </a:bodyPr>
            <a:lstStyle/>
            <a:p>
              <a:pPr>
                <a:defRPr sz="6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40409672914000888"/>
                  <c:h val="0.12595897673190665"/>
                </c:manualLayout>
              </c15:layout>
            </c:ext>
          </c:extLst>
        </c:dLbl>
      </c:pivotFmt>
      <c:pivotFmt>
        <c:idx val="30"/>
        <c:spPr>
          <a:solidFill>
            <a:srgbClr val="9E7F3F"/>
          </a:solidFill>
          <a:ln w="19050">
            <a:solidFill>
              <a:schemeClr val="lt1"/>
            </a:solidFill>
          </a:ln>
          <a:effectLst/>
        </c:spPr>
        <c:dLbl>
          <c:idx val="0"/>
          <c:layout>
            <c:manualLayout>
              <c:x val="0.47422730706720972"/>
              <c:y val="0.61232074853057428"/>
            </c:manualLayout>
          </c:layout>
          <c:spPr>
            <a:noFill/>
            <a:ln>
              <a:noFill/>
            </a:ln>
            <a:effectLst/>
          </c:spPr>
          <c:txPr>
            <a:bodyPr rot="0" spcFirstLastPara="1" vertOverflow="ellipsis" horzOverflow="clip" vert="horz" wrap="square" lIns="38100" tIns="19050" rIns="38100" bIns="19050" anchor="ctr" anchorCtr="1">
              <a:noAutofit/>
            </a:bodyPr>
            <a:lstStyle/>
            <a:p>
              <a:pPr>
                <a:defRPr sz="6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0673477125166915"/>
                  <c:h val="0.16201153397953522"/>
                </c:manualLayout>
              </c15:layout>
            </c:ext>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horzOverflow="clip" vert="horz" wrap="square" lIns="38100" tIns="19050" rIns="38100" bIns="19050" anchor="ctr" anchorCtr="1">
              <a:no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2"/>
        <c:spPr>
          <a:solidFill>
            <a:srgbClr val="5C4A1E"/>
          </a:solidFill>
          <a:ln w="19050">
            <a:solidFill>
              <a:schemeClr val="lt1"/>
            </a:solidFill>
          </a:ln>
          <a:effectLst/>
        </c:spPr>
        <c:dLbl>
          <c:idx val="0"/>
          <c:layout>
            <c:manualLayout>
              <c:x val="-0.46692690256556074"/>
              <c:y val="0.22421567945586188"/>
            </c:manualLayout>
          </c:layout>
          <c:spPr>
            <a:noFill/>
            <a:ln>
              <a:noFill/>
            </a:ln>
            <a:effectLst/>
          </c:spPr>
          <c:txPr>
            <a:bodyPr rot="0" spcFirstLastPara="1" vertOverflow="ellipsis" horzOverflow="clip" vert="horz" wrap="square" lIns="38100" tIns="19050" rIns="38100" bIns="19050" anchor="ctr" anchorCtr="1">
              <a:noAutofit/>
            </a:bodyPr>
            <a:lstStyle/>
            <a:p>
              <a:pPr>
                <a:defRPr sz="6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40409672914000888"/>
                  <c:h val="0.12595897673190665"/>
                </c:manualLayout>
              </c15:layout>
            </c:ext>
          </c:extLst>
        </c:dLbl>
      </c:pivotFmt>
      <c:pivotFmt>
        <c:idx val="33"/>
        <c:spPr>
          <a:solidFill>
            <a:srgbClr val="9E7F3F"/>
          </a:solidFill>
          <a:ln w="19050">
            <a:solidFill>
              <a:schemeClr val="lt1"/>
            </a:solidFill>
          </a:ln>
          <a:effectLst/>
        </c:spPr>
        <c:dLbl>
          <c:idx val="0"/>
          <c:layout>
            <c:manualLayout>
              <c:x val="0.47422730706720972"/>
              <c:y val="0.61232074853057428"/>
            </c:manualLayout>
          </c:layout>
          <c:spPr>
            <a:noFill/>
            <a:ln>
              <a:noFill/>
            </a:ln>
            <a:effectLst/>
          </c:spPr>
          <c:txPr>
            <a:bodyPr rot="0" spcFirstLastPara="1" vertOverflow="ellipsis" horzOverflow="clip" vert="horz" wrap="square" lIns="38100" tIns="19050" rIns="38100" bIns="19050" anchor="ctr" anchorCtr="1">
              <a:noAutofit/>
            </a:bodyPr>
            <a:lstStyle/>
            <a:p>
              <a:pPr>
                <a:defRPr sz="6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0673477125166915"/>
                  <c:h val="0.16201153397953522"/>
                </c:manualLayout>
              </c15:layout>
            </c:ext>
          </c:extLst>
        </c:dLbl>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horzOverflow="clip" vert="horz" wrap="square" lIns="38100" tIns="19050" rIns="38100" bIns="19050" anchor="ctr" anchorCtr="1">
              <a:no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5"/>
        <c:spPr>
          <a:solidFill>
            <a:srgbClr val="5C4A1E"/>
          </a:solidFill>
          <a:ln w="19050">
            <a:solidFill>
              <a:schemeClr val="lt1"/>
            </a:solidFill>
          </a:ln>
          <a:effectLst/>
        </c:spPr>
        <c:dLbl>
          <c:idx val="0"/>
          <c:layout>
            <c:manualLayout>
              <c:x val="5.3831833770153055E-2"/>
              <c:y val="-0.35126956578157692"/>
            </c:manualLayout>
          </c:layout>
          <c:spPr>
            <a:noFill/>
            <a:ln>
              <a:noFill/>
            </a:ln>
            <a:effectLst/>
          </c:spPr>
          <c:txPr>
            <a:bodyPr rot="0" spcFirstLastPara="1" vertOverflow="ellipsis" horzOverflow="clip" vert="horz" wrap="square" lIns="38100" tIns="19050" rIns="38100" bIns="19050" anchor="ctr" anchorCtr="1">
              <a:noAutofit/>
            </a:bodyPr>
            <a:lstStyle/>
            <a:p>
              <a:pPr>
                <a:defRPr sz="6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40409672914000888"/>
                  <c:h val="0.12595897673190665"/>
                </c:manualLayout>
              </c15:layout>
            </c:ext>
          </c:extLst>
        </c:dLbl>
      </c:pivotFmt>
      <c:pivotFmt>
        <c:idx val="36"/>
        <c:spPr>
          <a:solidFill>
            <a:srgbClr val="9E7F3F"/>
          </a:solidFill>
          <a:ln w="19050">
            <a:solidFill>
              <a:schemeClr val="lt1"/>
            </a:solidFill>
          </a:ln>
          <a:effectLst/>
        </c:spPr>
        <c:dLbl>
          <c:idx val="0"/>
          <c:layout>
            <c:manualLayout>
              <c:x val="0.63964486137301801"/>
              <c:y val="0.42603558741950659"/>
            </c:manualLayout>
          </c:layout>
          <c:spPr>
            <a:noFill/>
            <a:ln>
              <a:noFill/>
            </a:ln>
            <a:effectLst/>
          </c:spPr>
          <c:txPr>
            <a:bodyPr rot="0" spcFirstLastPara="1" vertOverflow="ellipsis" horzOverflow="clip" vert="horz" wrap="square" lIns="38100" tIns="19050" rIns="38100" bIns="19050" anchor="ctr" anchorCtr="1">
              <a:noAutofit/>
            </a:bodyPr>
            <a:lstStyle/>
            <a:p>
              <a:pPr>
                <a:defRPr sz="600" b="0" i="0" u="none" strike="noStrike" kern="1200" baseline="0">
                  <a:solidFill>
                    <a:srgbClr val="7A623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0673477125166915"/>
                  <c:h val="0.16201153397953522"/>
                </c:manualLayout>
              </c15:layout>
            </c:ext>
          </c:extLst>
        </c:dLbl>
      </c:pivotFmt>
    </c:pivotFmts>
    <c:plotArea>
      <c:layout/>
      <c:pieChart>
        <c:varyColors val="1"/>
        <c:ser>
          <c:idx val="0"/>
          <c:order val="0"/>
          <c:tx>
            <c:strRef>
              <c:f>Pivot_Table!$Q$16</c:f>
              <c:strCache>
                <c:ptCount val="1"/>
                <c:pt idx="0">
                  <c:v>Total</c:v>
                </c:pt>
              </c:strCache>
            </c:strRef>
          </c:tx>
          <c:dPt>
            <c:idx val="0"/>
            <c:bubble3D val="0"/>
            <c:spPr>
              <a:solidFill>
                <a:srgbClr val="5C4A1E"/>
              </a:solidFill>
              <a:ln w="19050">
                <a:solidFill>
                  <a:schemeClr val="lt1"/>
                </a:solidFill>
              </a:ln>
              <a:effectLst/>
            </c:spPr>
            <c:extLst>
              <c:ext xmlns:c16="http://schemas.microsoft.com/office/drawing/2014/chart" uri="{C3380CC4-5D6E-409C-BE32-E72D297353CC}">
                <c16:uniqueId val="{00000001-6E44-45F2-9E5D-FA6D0712E490}"/>
              </c:ext>
            </c:extLst>
          </c:dPt>
          <c:dPt>
            <c:idx val="1"/>
            <c:bubble3D val="0"/>
            <c:spPr>
              <a:solidFill>
                <a:srgbClr val="9E7F3F"/>
              </a:solidFill>
              <a:ln w="19050">
                <a:solidFill>
                  <a:schemeClr val="lt1"/>
                </a:solidFill>
              </a:ln>
              <a:effectLst/>
            </c:spPr>
            <c:extLst>
              <c:ext xmlns:c16="http://schemas.microsoft.com/office/drawing/2014/chart" uri="{C3380CC4-5D6E-409C-BE32-E72D297353CC}">
                <c16:uniqueId val="{00000003-6E44-45F2-9E5D-FA6D0712E490}"/>
              </c:ext>
            </c:extLst>
          </c:dPt>
          <c:dLbls>
            <c:dLbl>
              <c:idx val="0"/>
              <c:layout>
                <c:manualLayout>
                  <c:x val="5.3831833770153055E-2"/>
                  <c:y val="-0.3512695657815769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40409672914000888"/>
                      <c:h val="0.12595897673190665"/>
                    </c:manualLayout>
                  </c15:layout>
                </c:ext>
                <c:ext xmlns:c16="http://schemas.microsoft.com/office/drawing/2014/chart" uri="{C3380CC4-5D6E-409C-BE32-E72D297353CC}">
                  <c16:uniqueId val="{00000001-6E44-45F2-9E5D-FA6D0712E490}"/>
                </c:ext>
              </c:extLst>
            </c:dLbl>
            <c:dLbl>
              <c:idx val="1"/>
              <c:layout>
                <c:manualLayout>
                  <c:x val="0.63964486137301801"/>
                  <c:y val="0.42603558741950659"/>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30673477125166915"/>
                      <c:h val="0.16201153397953522"/>
                    </c:manualLayout>
                  </c15:layout>
                </c:ext>
                <c:ext xmlns:c16="http://schemas.microsoft.com/office/drawing/2014/chart" uri="{C3380CC4-5D6E-409C-BE32-E72D297353CC}">
                  <c16:uniqueId val="{00000003-6E44-45F2-9E5D-FA6D0712E490}"/>
                </c:ext>
              </c:extLst>
            </c:dLbl>
            <c:spPr>
              <a:noFill/>
              <a:ln>
                <a:noFill/>
              </a:ln>
              <a:effectLst/>
            </c:spPr>
            <c:txPr>
              <a:bodyPr rot="0" spcFirstLastPara="1" vertOverflow="ellipsis" horzOverflow="clip" vert="horz" wrap="square" lIns="38100" tIns="19050" rIns="38100" bIns="19050" anchor="ctr" anchorCtr="1">
                <a:noAutofit/>
              </a:bodyPr>
              <a:lstStyle/>
              <a:p>
                <a:pPr>
                  <a:defRPr sz="600" b="0" i="0" u="none" strike="noStrike" kern="1200" baseline="0">
                    <a:solidFill>
                      <a:srgbClr val="7A623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Pivot_Table!$P$17:$P$19</c:f>
              <c:strCache>
                <c:ptCount val="2"/>
                <c:pt idx="0">
                  <c:v>Weekday</c:v>
                </c:pt>
                <c:pt idx="1">
                  <c:v>Weekend</c:v>
                </c:pt>
              </c:strCache>
            </c:strRef>
          </c:cat>
          <c:val>
            <c:numRef>
              <c:f>Pivot_Table!$Q$17:$Q$19</c:f>
              <c:numCache>
                <c:formatCode>_("$"* #,##0_);_("$"* \(#,##0\);_("$"* "-"??_);_(@_)</c:formatCode>
                <c:ptCount val="2"/>
                <c:pt idx="0">
                  <c:v>14655.310000000009</c:v>
                </c:pt>
                <c:pt idx="1">
                  <c:v>5367.8300000000008</c:v>
                </c:pt>
              </c:numCache>
            </c:numRef>
          </c:val>
          <c:extLst>
            <c:ext xmlns:c16="http://schemas.microsoft.com/office/drawing/2014/chart" uri="{C3380CC4-5D6E-409C-BE32-E72D297353CC}">
              <c16:uniqueId val="{00000004-6E44-45F2-9E5D-FA6D0712E49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579622535561867"/>
          <c:y val="0.22915962433699372"/>
          <c:w val="0.22005203245443541"/>
          <c:h val="0.50678431817813174"/>
        </c:manualLayout>
      </c:layout>
      <c:overlay val="0"/>
      <c:spPr>
        <a:noFill/>
        <a:ln>
          <a:noFill/>
        </a:ln>
        <a:effectLst/>
      </c:spPr>
      <c:txPr>
        <a:bodyPr rot="0" spcFirstLastPara="1" vertOverflow="ellipsis" vert="horz" wrap="square" anchor="ctr" anchorCtr="1"/>
        <a:lstStyle/>
        <a:p>
          <a:pPr>
            <a:defRPr sz="600" b="0" i="0" u="none" strike="noStrike" kern="1200" baseline="0">
              <a:solidFill>
                <a:srgbClr val="7A623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7A623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142875</xdr:colOff>
      <xdr:row>1</xdr:row>
      <xdr:rowOff>0</xdr:rowOff>
    </xdr:from>
    <xdr:to>
      <xdr:col>8</xdr:col>
      <xdr:colOff>457200</xdr:colOff>
      <xdr:row>3</xdr:row>
      <xdr:rowOff>4330</xdr:rowOff>
    </xdr:to>
    <xdr:sp macro="" textlink="">
      <xdr:nvSpPr>
        <xdr:cNvPr id="2" name="Flowchart: Alternate Process 1">
          <a:extLst>
            <a:ext uri="{FF2B5EF4-FFF2-40B4-BE49-F238E27FC236}">
              <a16:creationId xmlns:a16="http://schemas.microsoft.com/office/drawing/2014/main" id="{0F3BE763-DE45-49F9-BB8D-DB8CAEA4D84E}"/>
            </a:ext>
          </a:extLst>
        </xdr:cNvPr>
        <xdr:cNvSpPr/>
      </xdr:nvSpPr>
      <xdr:spPr>
        <a:xfrm>
          <a:off x="142875" y="190500"/>
          <a:ext cx="5191125" cy="385330"/>
        </a:xfrm>
        <a:prstGeom prst="flowChartAlternateProcess">
          <a:avLst/>
        </a:prstGeom>
        <a:solidFill>
          <a:srgbClr val="5C4A1E"/>
        </a:solidFill>
        <a:ln>
          <a:solidFill>
            <a:srgbClr val="5C4A1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a:solidFill>
                <a:schemeClr val="lt1"/>
              </a:solidFill>
              <a:effectLst/>
              <a:latin typeface="Arial Black" panose="020B0A04020102020204" pitchFamily="34" charset="0"/>
              <a:ea typeface="+mn-ea"/>
              <a:cs typeface="+mn-cs"/>
            </a:rPr>
            <a:t>Restaurant Sales Dashboard</a:t>
          </a:r>
          <a:endParaRPr lang="en-US" sz="1200">
            <a:latin typeface="Arial Black" panose="020B0A04020102020204" pitchFamily="34" charset="0"/>
          </a:endParaRPr>
        </a:p>
      </xdr:txBody>
    </xdr:sp>
    <xdr:clientData/>
  </xdr:twoCellAnchor>
  <xdr:oneCellAnchor>
    <xdr:from>
      <xdr:col>0</xdr:col>
      <xdr:colOff>146342</xdr:colOff>
      <xdr:row>3</xdr:row>
      <xdr:rowOff>139411</xdr:rowOff>
    </xdr:from>
    <xdr:ext cx="1988572" cy="791441"/>
    <mc:AlternateContent xmlns:mc="http://schemas.openxmlformats.org/markup-compatibility/2006" xmlns:a14="http://schemas.microsoft.com/office/drawing/2010/main">
      <mc:Choice Requires="a14">
        <xdr:graphicFrame macro="">
          <xdr:nvGraphicFramePr>
            <xdr:cNvPr id="3" name="Month 4">
              <a:extLst>
                <a:ext uri="{FF2B5EF4-FFF2-40B4-BE49-F238E27FC236}">
                  <a16:creationId xmlns:a16="http://schemas.microsoft.com/office/drawing/2014/main" id="{3AF954D9-8FA8-478F-9924-3C6C93658A3C}"/>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146342" y="710911"/>
              <a:ext cx="1939672" cy="791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3</xdr:col>
      <xdr:colOff>407276</xdr:colOff>
      <xdr:row>3</xdr:row>
      <xdr:rowOff>142874</xdr:rowOff>
    </xdr:from>
    <xdr:ext cx="1438604" cy="787978"/>
    <mc:AlternateContent xmlns:mc="http://schemas.openxmlformats.org/markup-compatibility/2006">
      <mc:Choice xmlns:a14="http://schemas.microsoft.com/office/drawing/2010/main" Requires="a14">
        <xdr:graphicFrame macro="">
          <xdr:nvGraphicFramePr>
            <xdr:cNvPr id="4" name="Category 4">
              <a:extLst>
                <a:ext uri="{FF2B5EF4-FFF2-40B4-BE49-F238E27FC236}">
                  <a16:creationId xmlns:a16="http://schemas.microsoft.com/office/drawing/2014/main" id="{7818AD2B-5BAD-4573-AB94-89747C3A711C}"/>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dr:sp macro="" textlink="">
          <xdr:nvSpPr>
            <xdr:cNvPr id="0" name=""/>
            <xdr:cNvSpPr>
              <a:spLocks noTextEdit="1"/>
            </xdr:cNvSpPr>
          </xdr:nvSpPr>
          <xdr:spPr>
            <a:xfrm>
              <a:off x="2240017" y="714374"/>
              <a:ext cx="1438604" cy="7879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6</xdr:col>
      <xdr:colOff>124809</xdr:colOff>
      <xdr:row>3</xdr:row>
      <xdr:rowOff>128154</xdr:rowOff>
    </xdr:from>
    <xdr:ext cx="1566035" cy="779320"/>
    <mc:AlternateContent xmlns:mc="http://schemas.openxmlformats.org/markup-compatibility/2006" xmlns:a14="http://schemas.microsoft.com/office/drawing/2010/main">
      <mc:Choice Requires="a14">
        <xdr:graphicFrame macro="">
          <xdr:nvGraphicFramePr>
            <xdr:cNvPr id="5" name="Payment Method 4">
              <a:extLst>
                <a:ext uri="{FF2B5EF4-FFF2-40B4-BE49-F238E27FC236}">
                  <a16:creationId xmlns:a16="http://schemas.microsoft.com/office/drawing/2014/main" id="{8032867B-3F55-454B-93F8-4341F49F2690}"/>
                </a:ext>
              </a:extLst>
            </xdr:cNvPr>
            <xdr:cNvGraphicFramePr/>
          </xdr:nvGraphicFramePr>
          <xdr:xfrm>
            <a:off x="0" y="0"/>
            <a:ext cx="0" cy="0"/>
          </xdr:xfrm>
          <a:graphic>
            <a:graphicData uri="http://schemas.microsoft.com/office/drawing/2010/slicer">
              <sle:slicer xmlns:sle="http://schemas.microsoft.com/office/drawing/2010/slicer" name="Payment Method 4"/>
            </a:graphicData>
          </a:graphic>
        </xdr:graphicFrame>
      </mc:Choice>
      <mc:Fallback xmlns="">
        <xdr:sp macro="" textlink="">
          <xdr:nvSpPr>
            <xdr:cNvPr id="0" name=""/>
            <xdr:cNvSpPr>
              <a:spLocks noTextEdit="1"/>
            </xdr:cNvSpPr>
          </xdr:nvSpPr>
          <xdr:spPr>
            <a:xfrm>
              <a:off x="3728696" y="699654"/>
              <a:ext cx="1627632" cy="779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155408</xdr:colOff>
      <xdr:row>8</xdr:row>
      <xdr:rowOff>85591</xdr:rowOff>
    </xdr:from>
    <xdr:to>
      <xdr:col>1</xdr:col>
      <xdr:colOff>381000</xdr:colOff>
      <xdr:row>10</xdr:row>
      <xdr:rowOff>170815</xdr:rowOff>
    </xdr:to>
    <xdr:sp macro="" textlink="">
      <xdr:nvSpPr>
        <xdr:cNvPr id="6" name="Rectangle: Rounded Corners 5">
          <a:extLst>
            <a:ext uri="{FF2B5EF4-FFF2-40B4-BE49-F238E27FC236}">
              <a16:creationId xmlns:a16="http://schemas.microsoft.com/office/drawing/2014/main" id="{8E9474FB-C04A-4644-850C-817ECA3C5DB3}"/>
            </a:ext>
          </a:extLst>
        </xdr:cNvPr>
        <xdr:cNvSpPr/>
      </xdr:nvSpPr>
      <xdr:spPr>
        <a:xfrm>
          <a:off x="155408" y="1609591"/>
          <a:ext cx="835192" cy="466224"/>
        </a:xfrm>
        <a:prstGeom prst="roundRect">
          <a:avLst/>
        </a:prstGeom>
        <a:solidFill>
          <a:srgbClr val="5C4A1E"/>
        </a:solidFill>
        <a:ln>
          <a:solidFill>
            <a:srgbClr val="5C4A1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600">
              <a:latin typeface="Arial" panose="020B0604020202020204" pitchFamily="34" charset="0"/>
              <a:cs typeface="Arial" panose="020B0604020202020204" pitchFamily="34" charset="0"/>
            </a:rPr>
            <a:t>Total Transaction</a:t>
          </a:r>
        </a:p>
      </xdr:txBody>
    </xdr:sp>
    <xdr:clientData/>
  </xdr:twoCellAnchor>
  <xdr:twoCellAnchor>
    <xdr:from>
      <xdr:col>0</xdr:col>
      <xdr:colOff>249911</xdr:colOff>
      <xdr:row>9</xdr:row>
      <xdr:rowOff>80167</xdr:rowOff>
    </xdr:from>
    <xdr:to>
      <xdr:col>1</xdr:col>
      <xdr:colOff>132612</xdr:colOff>
      <xdr:row>10</xdr:row>
      <xdr:rowOff>119286</xdr:rowOff>
    </xdr:to>
    <xdr:sp macro="" textlink="KPI!B23">
      <xdr:nvSpPr>
        <xdr:cNvPr id="7" name="TextBox 6">
          <a:extLst>
            <a:ext uri="{FF2B5EF4-FFF2-40B4-BE49-F238E27FC236}">
              <a16:creationId xmlns:a16="http://schemas.microsoft.com/office/drawing/2014/main" id="{8AEBDB65-019A-4B49-8A50-C1391AD40AA1}"/>
            </a:ext>
          </a:extLst>
        </xdr:cNvPr>
        <xdr:cNvSpPr txBox="1"/>
      </xdr:nvSpPr>
      <xdr:spPr>
        <a:xfrm>
          <a:off x="249911" y="1794667"/>
          <a:ext cx="492301" cy="229619"/>
        </a:xfrm>
        <a:prstGeom prst="rect">
          <a:avLst/>
        </a:prstGeom>
        <a:solidFill>
          <a:srgbClr val="5C4A1E"/>
        </a:solidFill>
        <a:ln w="9525" cmpd="sng">
          <a:solidFill>
            <a:srgbClr val="5C4A1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838657-2116-4981-AEDB-86BB1810FCB6}" type="TxLink">
            <a:rPr lang="en-US" sz="1000" b="0" i="0" u="none" strike="noStrike">
              <a:solidFill>
                <a:srgbClr val="FFFFFF"/>
              </a:solidFill>
              <a:latin typeface="Calibri"/>
              <a:ea typeface="Calibri"/>
              <a:cs typeface="Calibri"/>
            </a:rPr>
            <a:pPr/>
            <a:t>500</a:t>
          </a:fld>
          <a:endParaRPr lang="en-US" sz="1100"/>
        </a:p>
      </xdr:txBody>
    </xdr:sp>
    <xdr:clientData/>
  </xdr:twoCellAnchor>
  <xdr:twoCellAnchor>
    <xdr:from>
      <xdr:col>1</xdr:col>
      <xdr:colOff>485083</xdr:colOff>
      <xdr:row>8</xdr:row>
      <xdr:rowOff>90971</xdr:rowOff>
    </xdr:from>
    <xdr:to>
      <xdr:col>3</xdr:col>
      <xdr:colOff>38100</xdr:colOff>
      <xdr:row>10</xdr:row>
      <xdr:rowOff>171182</xdr:rowOff>
    </xdr:to>
    <xdr:sp macro="" textlink="">
      <xdr:nvSpPr>
        <xdr:cNvPr id="8" name="Rectangle: Rounded Corners 7">
          <a:extLst>
            <a:ext uri="{FF2B5EF4-FFF2-40B4-BE49-F238E27FC236}">
              <a16:creationId xmlns:a16="http://schemas.microsoft.com/office/drawing/2014/main" id="{23714825-2C93-40C7-BB62-9660B0AEC70A}"/>
            </a:ext>
          </a:extLst>
        </xdr:cNvPr>
        <xdr:cNvSpPr/>
      </xdr:nvSpPr>
      <xdr:spPr>
        <a:xfrm>
          <a:off x="1094683" y="1614971"/>
          <a:ext cx="772217" cy="461211"/>
        </a:xfrm>
        <a:prstGeom prst="roundRect">
          <a:avLst/>
        </a:prstGeom>
        <a:solidFill>
          <a:srgbClr val="5C4A1E"/>
        </a:solidFill>
        <a:ln>
          <a:solidFill>
            <a:srgbClr val="5C4A1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600">
              <a:latin typeface="Arial" panose="020B0604020202020204" pitchFamily="34" charset="0"/>
              <a:cs typeface="Arial" panose="020B0604020202020204" pitchFamily="34" charset="0"/>
            </a:rPr>
            <a:t>Total Items sold</a:t>
          </a:r>
        </a:p>
      </xdr:txBody>
    </xdr:sp>
    <xdr:clientData/>
  </xdr:twoCellAnchor>
  <xdr:twoCellAnchor>
    <xdr:from>
      <xdr:col>1</xdr:col>
      <xdr:colOff>488037</xdr:colOff>
      <xdr:row>9</xdr:row>
      <xdr:rowOff>86187</xdr:rowOff>
    </xdr:from>
    <xdr:to>
      <xdr:col>2</xdr:col>
      <xdr:colOff>395767</xdr:colOff>
      <xdr:row>10</xdr:row>
      <xdr:rowOff>126063</xdr:rowOff>
    </xdr:to>
    <xdr:sp macro="" textlink="KPI!B24">
      <xdr:nvSpPr>
        <xdr:cNvPr id="9" name="TextBox 8">
          <a:extLst>
            <a:ext uri="{FF2B5EF4-FFF2-40B4-BE49-F238E27FC236}">
              <a16:creationId xmlns:a16="http://schemas.microsoft.com/office/drawing/2014/main" id="{92BA6508-D728-4BB4-8770-82FA8E6B86E6}"/>
            </a:ext>
          </a:extLst>
        </xdr:cNvPr>
        <xdr:cNvSpPr txBox="1"/>
      </xdr:nvSpPr>
      <xdr:spPr>
        <a:xfrm>
          <a:off x="1097637" y="1800687"/>
          <a:ext cx="517330" cy="230376"/>
        </a:xfrm>
        <a:prstGeom prst="rect">
          <a:avLst/>
        </a:prstGeom>
        <a:solidFill>
          <a:srgbClr val="5C4A1E"/>
        </a:solidFill>
        <a:ln w="9525" cmpd="sng">
          <a:solidFill>
            <a:srgbClr val="5C4A1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D41738-BEC3-4259-9F5F-2F4C4F77EACC}" type="TxLink">
            <a:rPr lang="en-US" sz="1000" b="0" i="0" u="none" strike="noStrike">
              <a:solidFill>
                <a:srgbClr val="FFFFFF"/>
              </a:solidFill>
              <a:latin typeface="Calibri"/>
              <a:ea typeface="Calibri"/>
              <a:cs typeface="Calibri"/>
            </a:rPr>
            <a:pPr/>
            <a:t> 1,515 </a:t>
          </a:fld>
          <a:endParaRPr lang="en-US" sz="1100"/>
        </a:p>
      </xdr:txBody>
    </xdr:sp>
    <xdr:clientData/>
  </xdr:twoCellAnchor>
  <xdr:twoCellAnchor>
    <xdr:from>
      <xdr:col>3</xdr:col>
      <xdr:colOff>150827</xdr:colOff>
      <xdr:row>8</xdr:row>
      <xdr:rowOff>91338</xdr:rowOff>
    </xdr:from>
    <xdr:to>
      <xdr:col>4</xdr:col>
      <xdr:colOff>352425</xdr:colOff>
      <xdr:row>10</xdr:row>
      <xdr:rowOff>166536</xdr:rowOff>
    </xdr:to>
    <xdr:sp macro="" textlink="">
      <xdr:nvSpPr>
        <xdr:cNvPr id="10" name="Rectangle: Rounded Corners 9">
          <a:extLst>
            <a:ext uri="{FF2B5EF4-FFF2-40B4-BE49-F238E27FC236}">
              <a16:creationId xmlns:a16="http://schemas.microsoft.com/office/drawing/2014/main" id="{E4B92A45-2C2F-49AF-A60C-34D4156A1271}"/>
            </a:ext>
          </a:extLst>
        </xdr:cNvPr>
        <xdr:cNvSpPr/>
      </xdr:nvSpPr>
      <xdr:spPr>
        <a:xfrm>
          <a:off x="1979627" y="1615338"/>
          <a:ext cx="811198" cy="456198"/>
        </a:xfrm>
        <a:prstGeom prst="roundRect">
          <a:avLst/>
        </a:prstGeom>
        <a:solidFill>
          <a:srgbClr val="5C4A1E"/>
        </a:solidFill>
        <a:ln>
          <a:solidFill>
            <a:srgbClr val="5C4A1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600">
              <a:latin typeface="Arial" panose="020B0604020202020204" pitchFamily="34" charset="0"/>
              <a:cs typeface="Arial" panose="020B0604020202020204" pitchFamily="34" charset="0"/>
            </a:rPr>
            <a:t>Avg items</a:t>
          </a:r>
          <a:r>
            <a:rPr lang="en-US" sz="600" baseline="0">
              <a:latin typeface="Arial" panose="020B0604020202020204" pitchFamily="34" charset="0"/>
              <a:cs typeface="Arial" panose="020B0604020202020204" pitchFamily="34" charset="0"/>
            </a:rPr>
            <a:t> / order</a:t>
          </a:r>
          <a:endParaRPr lang="en-US" sz="600">
            <a:latin typeface="Arial" panose="020B0604020202020204" pitchFamily="34" charset="0"/>
            <a:cs typeface="Arial" panose="020B0604020202020204" pitchFamily="34" charset="0"/>
          </a:endParaRPr>
        </a:p>
      </xdr:txBody>
    </xdr:sp>
    <xdr:clientData/>
  </xdr:twoCellAnchor>
  <xdr:twoCellAnchor>
    <xdr:from>
      <xdr:col>3</xdr:col>
      <xdr:colOff>232593</xdr:colOff>
      <xdr:row>9</xdr:row>
      <xdr:rowOff>89487</xdr:rowOff>
    </xdr:from>
    <xdr:to>
      <xdr:col>3</xdr:col>
      <xdr:colOff>447532</xdr:colOff>
      <xdr:row>10</xdr:row>
      <xdr:rowOff>126431</xdr:rowOff>
    </xdr:to>
    <xdr:sp macro="" textlink="KPI!B25">
      <xdr:nvSpPr>
        <xdr:cNvPr id="11" name="TextBox 10">
          <a:extLst>
            <a:ext uri="{FF2B5EF4-FFF2-40B4-BE49-F238E27FC236}">
              <a16:creationId xmlns:a16="http://schemas.microsoft.com/office/drawing/2014/main" id="{56F88D8C-5136-47B1-92E6-68C0DEE2FE2A}"/>
            </a:ext>
          </a:extLst>
        </xdr:cNvPr>
        <xdr:cNvSpPr txBox="1"/>
      </xdr:nvSpPr>
      <xdr:spPr>
        <a:xfrm>
          <a:off x="2061393" y="1803987"/>
          <a:ext cx="214939" cy="227444"/>
        </a:xfrm>
        <a:prstGeom prst="rect">
          <a:avLst/>
        </a:prstGeom>
        <a:solidFill>
          <a:srgbClr val="5C4A1E"/>
        </a:solidFill>
        <a:ln w="9525" cmpd="sng">
          <a:solidFill>
            <a:srgbClr val="5C4A1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FA0CF9-9715-4222-83A6-45F33B967395}" type="TxLink">
            <a:rPr lang="en-US" sz="1000" b="0" i="0" u="none" strike="noStrike">
              <a:solidFill>
                <a:srgbClr val="FFFFFF"/>
              </a:solidFill>
              <a:latin typeface="Calibri"/>
              <a:ea typeface="Calibri"/>
              <a:cs typeface="Calibri"/>
            </a:rPr>
            <a:pPr/>
            <a:t>3</a:t>
          </a:fld>
          <a:endParaRPr lang="en-US" sz="1100"/>
        </a:p>
      </xdr:txBody>
    </xdr:sp>
    <xdr:clientData/>
  </xdr:twoCellAnchor>
  <xdr:twoCellAnchor>
    <xdr:from>
      <xdr:col>4</xdr:col>
      <xdr:colOff>484602</xdr:colOff>
      <xdr:row>8</xdr:row>
      <xdr:rowOff>102953</xdr:rowOff>
    </xdr:from>
    <xdr:to>
      <xdr:col>6</xdr:col>
      <xdr:colOff>9526</xdr:colOff>
      <xdr:row>10</xdr:row>
      <xdr:rowOff>167268</xdr:rowOff>
    </xdr:to>
    <xdr:sp macro="" textlink="">
      <xdr:nvSpPr>
        <xdr:cNvPr id="12" name="Rectangle: Rounded Corners 11">
          <a:extLst>
            <a:ext uri="{FF2B5EF4-FFF2-40B4-BE49-F238E27FC236}">
              <a16:creationId xmlns:a16="http://schemas.microsoft.com/office/drawing/2014/main" id="{5B9AAEAB-F80B-43F9-A6A7-B4A240C69654}"/>
            </a:ext>
          </a:extLst>
        </xdr:cNvPr>
        <xdr:cNvSpPr/>
      </xdr:nvSpPr>
      <xdr:spPr>
        <a:xfrm>
          <a:off x="2923002" y="1626953"/>
          <a:ext cx="744124" cy="445315"/>
        </a:xfrm>
        <a:prstGeom prst="roundRect">
          <a:avLst/>
        </a:prstGeom>
        <a:solidFill>
          <a:srgbClr val="5C4A1E"/>
        </a:solidFill>
        <a:ln>
          <a:solidFill>
            <a:srgbClr val="5C4A1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600">
              <a:latin typeface="Arial" panose="020B0604020202020204" pitchFamily="34" charset="0"/>
              <a:cs typeface="Arial" panose="020B0604020202020204" pitchFamily="34" charset="0"/>
            </a:rPr>
            <a:t>Total Revenue</a:t>
          </a:r>
        </a:p>
      </xdr:txBody>
    </xdr:sp>
    <xdr:clientData/>
  </xdr:twoCellAnchor>
  <xdr:twoCellAnchor>
    <xdr:from>
      <xdr:col>4</xdr:col>
      <xdr:colOff>491963</xdr:colOff>
      <xdr:row>9</xdr:row>
      <xdr:rowOff>87274</xdr:rowOff>
    </xdr:from>
    <xdr:to>
      <xdr:col>5</xdr:col>
      <xdr:colOff>535277</xdr:colOff>
      <xdr:row>10</xdr:row>
      <xdr:rowOff>116159</xdr:rowOff>
    </xdr:to>
    <xdr:sp macro="" textlink="KPI!B26">
      <xdr:nvSpPr>
        <xdr:cNvPr id="13" name="TextBox 12">
          <a:extLst>
            <a:ext uri="{FF2B5EF4-FFF2-40B4-BE49-F238E27FC236}">
              <a16:creationId xmlns:a16="http://schemas.microsoft.com/office/drawing/2014/main" id="{48E4DAAD-6491-4B8E-8368-6A3B0A138722}"/>
            </a:ext>
          </a:extLst>
        </xdr:cNvPr>
        <xdr:cNvSpPr txBox="1"/>
      </xdr:nvSpPr>
      <xdr:spPr>
        <a:xfrm>
          <a:off x="2930363" y="1801774"/>
          <a:ext cx="652914" cy="219385"/>
        </a:xfrm>
        <a:prstGeom prst="rect">
          <a:avLst/>
        </a:prstGeom>
        <a:solidFill>
          <a:srgbClr val="5C4A1E"/>
        </a:solidFill>
        <a:ln w="9525" cmpd="sng">
          <a:solidFill>
            <a:srgbClr val="5C4A1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7AF742-D0E8-4421-8964-98F6E7194EE3}" type="TxLink">
            <a:rPr lang="en-US" sz="1000" b="0" i="0" u="none" strike="noStrike">
              <a:solidFill>
                <a:srgbClr val="FFFFFF"/>
              </a:solidFill>
              <a:latin typeface="Calibri"/>
              <a:ea typeface="Calibri"/>
              <a:cs typeface="Calibri"/>
            </a:rPr>
            <a:pPr/>
            <a:t> $20,023 </a:t>
          </a:fld>
          <a:endParaRPr lang="en-US" sz="1100"/>
        </a:p>
      </xdr:txBody>
    </xdr:sp>
    <xdr:clientData/>
  </xdr:twoCellAnchor>
  <xdr:twoCellAnchor>
    <xdr:from>
      <xdr:col>6</xdr:col>
      <xdr:colOff>132763</xdr:colOff>
      <xdr:row>8</xdr:row>
      <xdr:rowOff>106866</xdr:rowOff>
    </xdr:from>
    <xdr:to>
      <xdr:col>7</xdr:col>
      <xdr:colOff>228600</xdr:colOff>
      <xdr:row>10</xdr:row>
      <xdr:rowOff>167269</xdr:rowOff>
    </xdr:to>
    <xdr:sp macro="" textlink="">
      <xdr:nvSpPr>
        <xdr:cNvPr id="14" name="Rectangle: Rounded Corners 13">
          <a:extLst>
            <a:ext uri="{FF2B5EF4-FFF2-40B4-BE49-F238E27FC236}">
              <a16:creationId xmlns:a16="http://schemas.microsoft.com/office/drawing/2014/main" id="{4D0A0A99-2F28-4E91-93C1-75B081628D9F}"/>
            </a:ext>
          </a:extLst>
        </xdr:cNvPr>
        <xdr:cNvSpPr/>
      </xdr:nvSpPr>
      <xdr:spPr>
        <a:xfrm>
          <a:off x="3790363" y="1630866"/>
          <a:ext cx="705437" cy="441403"/>
        </a:xfrm>
        <a:prstGeom prst="roundRect">
          <a:avLst/>
        </a:prstGeom>
        <a:solidFill>
          <a:srgbClr val="5C4A1E"/>
        </a:solidFill>
        <a:ln>
          <a:solidFill>
            <a:srgbClr val="5C4A1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600">
              <a:latin typeface="Arial" panose="020B0604020202020204" pitchFamily="34" charset="0"/>
              <a:cs typeface="Arial" panose="020B0604020202020204" pitchFamily="34" charset="0"/>
            </a:rPr>
            <a:t>Total Profit</a:t>
          </a:r>
        </a:p>
      </xdr:txBody>
    </xdr:sp>
    <xdr:clientData/>
  </xdr:twoCellAnchor>
  <xdr:twoCellAnchor>
    <xdr:from>
      <xdr:col>6</xdr:col>
      <xdr:colOff>155286</xdr:colOff>
      <xdr:row>9</xdr:row>
      <xdr:rowOff>91718</xdr:rowOff>
    </xdr:from>
    <xdr:to>
      <xdr:col>7</xdr:col>
      <xdr:colOff>200025</xdr:colOff>
      <xdr:row>10</xdr:row>
      <xdr:rowOff>155356</xdr:rowOff>
    </xdr:to>
    <xdr:sp macro="" textlink="KPI!B27">
      <xdr:nvSpPr>
        <xdr:cNvPr id="15" name="TextBox 14">
          <a:extLst>
            <a:ext uri="{FF2B5EF4-FFF2-40B4-BE49-F238E27FC236}">
              <a16:creationId xmlns:a16="http://schemas.microsoft.com/office/drawing/2014/main" id="{76F291BD-5C72-4E4B-9963-F4DEDB7CF3C8}"/>
            </a:ext>
          </a:extLst>
        </xdr:cNvPr>
        <xdr:cNvSpPr txBox="1"/>
      </xdr:nvSpPr>
      <xdr:spPr>
        <a:xfrm>
          <a:off x="3820769" y="1806218"/>
          <a:ext cx="655653" cy="254138"/>
        </a:xfrm>
        <a:prstGeom prst="rect">
          <a:avLst/>
        </a:prstGeom>
        <a:solidFill>
          <a:srgbClr val="5C4A1E"/>
        </a:solidFill>
        <a:ln w="9525" cmpd="sng">
          <a:solidFill>
            <a:srgbClr val="5C4A1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33F7BD-9B17-40F6-963C-9BD8AE6E4D1C}" type="TxLink">
            <a:rPr lang="en-US" sz="1000" b="0" i="0" u="none" strike="noStrike">
              <a:solidFill>
                <a:srgbClr val="FFFFFF"/>
              </a:solidFill>
              <a:latin typeface="Calibri"/>
              <a:ea typeface="Calibri"/>
              <a:cs typeface="Calibri"/>
            </a:rPr>
            <a:pPr/>
            <a:t> $16,064 </a:t>
          </a:fld>
          <a:endParaRPr lang="en-US" sz="1100"/>
        </a:p>
      </xdr:txBody>
    </xdr:sp>
    <xdr:clientData/>
  </xdr:twoCellAnchor>
  <xdr:twoCellAnchor>
    <xdr:from>
      <xdr:col>7</xdr:col>
      <xdr:colOff>347219</xdr:colOff>
      <xdr:row>8</xdr:row>
      <xdr:rowOff>102219</xdr:rowOff>
    </xdr:from>
    <xdr:to>
      <xdr:col>8</xdr:col>
      <xdr:colOff>454269</xdr:colOff>
      <xdr:row>10</xdr:row>
      <xdr:rowOff>167269</xdr:rowOff>
    </xdr:to>
    <xdr:sp macro="" textlink="">
      <xdr:nvSpPr>
        <xdr:cNvPr id="16" name="Rectangle: Rounded Corners 15">
          <a:extLst>
            <a:ext uri="{FF2B5EF4-FFF2-40B4-BE49-F238E27FC236}">
              <a16:creationId xmlns:a16="http://schemas.microsoft.com/office/drawing/2014/main" id="{2210B70C-96F9-4D0D-9F9F-77AFC098A0F1}"/>
            </a:ext>
          </a:extLst>
        </xdr:cNvPr>
        <xdr:cNvSpPr/>
      </xdr:nvSpPr>
      <xdr:spPr>
        <a:xfrm>
          <a:off x="4614419" y="1626219"/>
          <a:ext cx="716650" cy="446050"/>
        </a:xfrm>
        <a:prstGeom prst="roundRect">
          <a:avLst/>
        </a:prstGeom>
        <a:solidFill>
          <a:srgbClr val="5C4A1E"/>
        </a:solidFill>
        <a:ln>
          <a:solidFill>
            <a:srgbClr val="5C4A1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600">
              <a:latin typeface="Arial" panose="020B0604020202020204" pitchFamily="34" charset="0"/>
              <a:cs typeface="Arial" panose="020B0604020202020204" pitchFamily="34" charset="0"/>
            </a:rPr>
            <a:t>Profit</a:t>
          </a:r>
          <a:r>
            <a:rPr lang="en-US" sz="600" baseline="0">
              <a:latin typeface="Arial" panose="020B0604020202020204" pitchFamily="34" charset="0"/>
              <a:cs typeface="Arial" panose="020B0604020202020204" pitchFamily="34" charset="0"/>
            </a:rPr>
            <a:t> Margin</a:t>
          </a:r>
          <a:endParaRPr lang="en-US" sz="600">
            <a:latin typeface="Arial" panose="020B0604020202020204" pitchFamily="34" charset="0"/>
            <a:cs typeface="Arial" panose="020B0604020202020204" pitchFamily="34" charset="0"/>
          </a:endParaRPr>
        </a:p>
      </xdr:txBody>
    </xdr:sp>
    <xdr:clientData/>
  </xdr:twoCellAnchor>
  <xdr:twoCellAnchor>
    <xdr:from>
      <xdr:col>7</xdr:col>
      <xdr:colOff>431836</xdr:colOff>
      <xdr:row>9</xdr:row>
      <xdr:rowOff>106866</xdr:rowOff>
    </xdr:from>
    <xdr:to>
      <xdr:col>8</xdr:col>
      <xdr:colOff>276125</xdr:colOff>
      <xdr:row>10</xdr:row>
      <xdr:rowOff>116157</xdr:rowOff>
    </xdr:to>
    <xdr:sp macro="" textlink="KPI!B28">
      <xdr:nvSpPr>
        <xdr:cNvPr id="17" name="TextBox 16">
          <a:extLst>
            <a:ext uri="{FF2B5EF4-FFF2-40B4-BE49-F238E27FC236}">
              <a16:creationId xmlns:a16="http://schemas.microsoft.com/office/drawing/2014/main" id="{0FB333DB-1295-404D-92BB-7D3A8F722EA8}"/>
            </a:ext>
          </a:extLst>
        </xdr:cNvPr>
        <xdr:cNvSpPr txBox="1"/>
      </xdr:nvSpPr>
      <xdr:spPr>
        <a:xfrm>
          <a:off x="4699036" y="1821366"/>
          <a:ext cx="453889" cy="199791"/>
        </a:xfrm>
        <a:prstGeom prst="rect">
          <a:avLst/>
        </a:prstGeom>
        <a:solidFill>
          <a:srgbClr val="5C4A1E"/>
        </a:solidFill>
        <a:ln w="9525" cmpd="sng">
          <a:solidFill>
            <a:srgbClr val="5C4A1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88B617-AE9B-497E-80CA-C1FE7CA70E96}" type="TxLink">
            <a:rPr lang="en-US" sz="1000" b="0" i="0" u="none" strike="noStrike">
              <a:solidFill>
                <a:srgbClr val="FFFFFF"/>
              </a:solidFill>
              <a:latin typeface="Calibri"/>
              <a:ea typeface="Calibri"/>
              <a:cs typeface="Calibri"/>
            </a:rPr>
            <a:pPr/>
            <a:t>80%</a:t>
          </a:fld>
          <a:endParaRPr lang="en-US" sz="1100"/>
        </a:p>
      </xdr:txBody>
    </xdr:sp>
    <xdr:clientData/>
  </xdr:twoCellAnchor>
  <xdr:twoCellAnchor>
    <xdr:from>
      <xdr:col>0</xdr:col>
      <xdr:colOff>144517</xdr:colOff>
      <xdr:row>11</xdr:row>
      <xdr:rowOff>111673</xdr:rowOff>
    </xdr:from>
    <xdr:to>
      <xdr:col>6</xdr:col>
      <xdr:colOff>0</xdr:colOff>
      <xdr:row>19</xdr:row>
      <xdr:rowOff>38100</xdr:rowOff>
    </xdr:to>
    <xdr:graphicFrame macro="">
      <xdr:nvGraphicFramePr>
        <xdr:cNvPr id="18" name="Chart 17">
          <a:extLst>
            <a:ext uri="{FF2B5EF4-FFF2-40B4-BE49-F238E27FC236}">
              <a16:creationId xmlns:a16="http://schemas.microsoft.com/office/drawing/2014/main" id="{0E60E77E-411E-4E57-BA32-CF461318A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111673</xdr:colOff>
      <xdr:row>11</xdr:row>
      <xdr:rowOff>117989</xdr:rowOff>
    </xdr:from>
    <xdr:to>
      <xdr:col>8</xdr:col>
      <xdr:colOff>440121</xdr:colOff>
      <xdr:row>19</xdr:row>
      <xdr:rowOff>32845</xdr:rowOff>
    </xdr:to>
    <xdr:graphicFrame macro="">
      <xdr:nvGraphicFramePr>
        <xdr:cNvPr id="19" name="Chart 18">
          <a:extLst>
            <a:ext uri="{FF2B5EF4-FFF2-40B4-BE49-F238E27FC236}">
              <a16:creationId xmlns:a16="http://schemas.microsoft.com/office/drawing/2014/main" id="{B06182CB-BD45-459A-8B73-0E4E21ABD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149445</xdr:colOff>
      <xdr:row>19</xdr:row>
      <xdr:rowOff>172434</xdr:rowOff>
    </xdr:from>
    <xdr:to>
      <xdr:col>3</xdr:col>
      <xdr:colOff>395654</xdr:colOff>
      <xdr:row>27</xdr:row>
      <xdr:rowOff>164223</xdr:rowOff>
    </xdr:to>
    <xdr:graphicFrame macro="">
      <xdr:nvGraphicFramePr>
        <xdr:cNvPr id="20" name="Chart 19">
          <a:extLst>
            <a:ext uri="{FF2B5EF4-FFF2-40B4-BE49-F238E27FC236}">
              <a16:creationId xmlns:a16="http://schemas.microsoft.com/office/drawing/2014/main" id="{029AC6E9-E5B6-4995-A1BB-884DAF694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498732</xdr:colOff>
      <xdr:row>19</xdr:row>
      <xdr:rowOff>164224</xdr:rowOff>
    </xdr:from>
    <xdr:to>
      <xdr:col>5</xdr:col>
      <xdr:colOff>600809</xdr:colOff>
      <xdr:row>27</xdr:row>
      <xdr:rowOff>157655</xdr:rowOff>
    </xdr:to>
    <xdr:graphicFrame macro="">
      <xdr:nvGraphicFramePr>
        <xdr:cNvPr id="21" name="Chart 20">
          <a:extLst>
            <a:ext uri="{FF2B5EF4-FFF2-40B4-BE49-F238E27FC236}">
              <a16:creationId xmlns:a16="http://schemas.microsoft.com/office/drawing/2014/main" id="{40DAB499-0F8E-4862-86E3-C29DAEC47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91967</xdr:colOff>
      <xdr:row>19</xdr:row>
      <xdr:rowOff>177363</xdr:rowOff>
    </xdr:from>
    <xdr:to>
      <xdr:col>8</xdr:col>
      <xdr:colOff>453260</xdr:colOff>
      <xdr:row>27</xdr:row>
      <xdr:rowOff>137949</xdr:rowOff>
    </xdr:to>
    <xdr:graphicFrame macro="">
      <xdr:nvGraphicFramePr>
        <xdr:cNvPr id="22" name="Chart 21">
          <a:extLst>
            <a:ext uri="{FF2B5EF4-FFF2-40B4-BE49-F238E27FC236}">
              <a16:creationId xmlns:a16="http://schemas.microsoft.com/office/drawing/2014/main" id="{8E9E6E59-DC4E-43FF-B949-36654D17F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140803</xdr:colOff>
      <xdr:row>28</xdr:row>
      <xdr:rowOff>124238</xdr:rowOff>
    </xdr:from>
    <xdr:to>
      <xdr:col>3</xdr:col>
      <xdr:colOff>380999</xdr:colOff>
      <xdr:row>36</xdr:row>
      <xdr:rowOff>141513</xdr:rowOff>
    </xdr:to>
    <xdr:graphicFrame macro="">
      <xdr:nvGraphicFramePr>
        <xdr:cNvPr id="23" name="Chart 22">
          <a:extLst>
            <a:ext uri="{FF2B5EF4-FFF2-40B4-BE49-F238E27FC236}">
              <a16:creationId xmlns:a16="http://schemas.microsoft.com/office/drawing/2014/main" id="{836AA64D-3123-4E21-87C5-8EB36B125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479535</xdr:colOff>
      <xdr:row>28</xdr:row>
      <xdr:rowOff>123944</xdr:rowOff>
    </xdr:from>
    <xdr:to>
      <xdr:col>8</xdr:col>
      <xdr:colOff>457200</xdr:colOff>
      <xdr:row>36</xdr:row>
      <xdr:rowOff>152400</xdr:rowOff>
    </xdr:to>
    <xdr:sp macro="" textlink="">
      <xdr:nvSpPr>
        <xdr:cNvPr id="25" name="Rectangle 24">
          <a:extLst>
            <a:ext uri="{FF2B5EF4-FFF2-40B4-BE49-F238E27FC236}">
              <a16:creationId xmlns:a16="http://schemas.microsoft.com/office/drawing/2014/main" id="{9C76A479-5751-4F6D-A694-C2423D0E159B}"/>
            </a:ext>
          </a:extLst>
        </xdr:cNvPr>
        <xdr:cNvSpPr/>
      </xdr:nvSpPr>
      <xdr:spPr>
        <a:xfrm>
          <a:off x="2312276" y="5457944"/>
          <a:ext cx="3032234" cy="1552456"/>
        </a:xfrm>
        <a:prstGeom prst="rect">
          <a:avLst/>
        </a:prstGeom>
        <a:solidFill>
          <a:srgbClr val="F0E8D4"/>
        </a:solidFill>
        <a:ln cap="rnd">
          <a:no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700" b="1" i="0">
              <a:solidFill>
                <a:srgbClr val="5C4A1E"/>
              </a:solidFill>
              <a:effectLst/>
              <a:latin typeface="+mn-lt"/>
              <a:ea typeface="+mn-ea"/>
              <a:cs typeface="+mn-cs"/>
            </a:rPr>
            <a:t>Key findings</a:t>
          </a:r>
          <a:r>
            <a:rPr lang="ar-EG" sz="700" b="1" i="0">
              <a:solidFill>
                <a:srgbClr val="5C4A1E"/>
              </a:solidFill>
              <a:effectLst/>
              <a:latin typeface="+mn-lt"/>
              <a:ea typeface="+mn-ea"/>
              <a:cs typeface="+mn-cs"/>
            </a:rPr>
            <a:t>:</a:t>
          </a:r>
          <a:endParaRPr lang="en-US" sz="700" b="1" i="0">
            <a:solidFill>
              <a:srgbClr val="5C4A1E"/>
            </a:solidFill>
            <a:effectLst/>
            <a:latin typeface="+mn-lt"/>
            <a:ea typeface="+mn-ea"/>
            <a:cs typeface="+mn-cs"/>
          </a:endParaRPr>
        </a:p>
        <a:p>
          <a:pPr algn="l"/>
          <a:endParaRPr lang="en-US" sz="200" b="1">
            <a:solidFill>
              <a:srgbClr val="5C4A1E"/>
            </a:solidFill>
          </a:endParaRPr>
        </a:p>
        <a:p>
          <a:pPr algn="l"/>
          <a:endParaRPr lang="en-US" sz="200" b="1">
            <a:solidFill>
              <a:srgbClr val="5C4A1E"/>
            </a:solidFill>
          </a:endParaRPr>
        </a:p>
        <a:p>
          <a:pPr algn="l"/>
          <a:r>
            <a:rPr lang="en-US" sz="620" b="0">
              <a:solidFill>
                <a:srgbClr val="5C4A1E"/>
              </a:solidFill>
            </a:rPr>
            <a:t>- Morning is the peak revenue period at $9,427 — 47% of total daily revenue</a:t>
          </a:r>
          <a:endParaRPr lang="ar-EG" sz="620" b="0">
            <a:solidFill>
              <a:srgbClr val="5C4A1E"/>
            </a:solidFill>
          </a:endParaRPr>
        </a:p>
        <a:p>
          <a:pPr algn="l"/>
          <a:endParaRPr lang="en-US" sz="620" b="0">
            <a:solidFill>
              <a:srgbClr val="5C4A1E"/>
            </a:solidFill>
          </a:endParaRPr>
        </a:p>
        <a:p>
          <a:pPr algn="l"/>
          <a:r>
            <a:rPr lang="en-US" sz="620" b="0">
              <a:solidFill>
                <a:srgbClr val="5C4A1E"/>
              </a:solidFill>
            </a:rPr>
            <a:t>- August recorded the lowest monthly sales at $1,057 — a sharp drop vs. July ($3,314)</a:t>
          </a:r>
          <a:endParaRPr lang="ar-EG" sz="620" b="0">
            <a:solidFill>
              <a:srgbClr val="5C4A1E"/>
            </a:solidFill>
          </a:endParaRPr>
        </a:p>
        <a:p>
          <a:pPr algn="l"/>
          <a:endParaRPr lang="en-US" sz="620" b="0">
            <a:solidFill>
              <a:srgbClr val="5C4A1E"/>
            </a:solidFill>
          </a:endParaRPr>
        </a:p>
        <a:p>
          <a:pPr algn="l"/>
          <a:r>
            <a:rPr lang="en-US" sz="620" b="0">
              <a:solidFill>
                <a:srgbClr val="5C4A1E"/>
              </a:solidFill>
            </a:rPr>
            <a:t>- Pizza is the top-selling item by revenue ($2,628), while Ice Cream is the lowest ($1,703)</a:t>
          </a:r>
          <a:endParaRPr lang="ar-EG" sz="620" b="0">
            <a:solidFill>
              <a:srgbClr val="5C4A1E"/>
            </a:solidFill>
          </a:endParaRPr>
        </a:p>
        <a:p>
          <a:pPr algn="l"/>
          <a:endParaRPr lang="en-US" sz="620" b="0">
            <a:solidFill>
              <a:srgbClr val="5C4A1E"/>
            </a:solidFill>
          </a:endParaRPr>
        </a:p>
        <a:p>
          <a:pPr algn="l"/>
          <a:r>
            <a:rPr lang="en-US" sz="620" b="0">
              <a:solidFill>
                <a:srgbClr val="5C4A1E"/>
              </a:solidFill>
            </a:rPr>
            <a:t>- Weekday sales ($14,655) are 2.7x higher than weekend sales ($5,369)</a:t>
          </a:r>
          <a:endParaRPr lang="ar-EG" sz="620" b="0">
            <a:solidFill>
              <a:srgbClr val="5C4A1E"/>
            </a:solidFill>
          </a:endParaRPr>
        </a:p>
        <a:p>
          <a:pPr algn="l"/>
          <a:endParaRPr lang="en-US" sz="620" b="0">
            <a:solidFill>
              <a:srgbClr val="5C4A1E"/>
            </a:solidFill>
          </a:endParaRPr>
        </a:p>
        <a:p>
          <a:pPr algn="l"/>
          <a:r>
            <a:rPr lang="en-US" sz="620" b="0">
              <a:solidFill>
                <a:srgbClr val="5C4A1E"/>
              </a:solidFill>
            </a:rPr>
            <a:t>- Credit Card &amp; Cash are the dominant payment methods, together accounting for ~52% of revenue</a:t>
          </a:r>
          <a:endParaRPr lang="ar-EG" sz="620" b="0">
            <a:solidFill>
              <a:srgbClr val="5C4A1E"/>
            </a:solidFill>
          </a:endParaRPr>
        </a:p>
        <a:p>
          <a:pPr algn="l"/>
          <a:endParaRPr lang="en-US" sz="620" b="0">
            <a:solidFill>
              <a:srgbClr val="5C4A1E"/>
            </a:solidFill>
          </a:endParaRPr>
        </a:p>
        <a:p>
          <a:pPr algn="l"/>
          <a:r>
            <a:rPr lang="en-US" sz="620" b="0">
              <a:solidFill>
                <a:srgbClr val="5C4A1E"/>
              </a:solidFill>
            </a:rPr>
            <a:t>- Average order contains 3 items — suggesting customers regularly combine multiple items per visit</a:t>
          </a:r>
        </a:p>
      </xdr:txBody>
    </xdr:sp>
    <xdr:clientData/>
  </xdr:twoCellAnchor>
  <xdr:twoCellAnchor>
    <xdr:from>
      <xdr:col>3</xdr:col>
      <xdr:colOff>486011</xdr:colOff>
      <xdr:row>28</xdr:row>
      <xdr:rowOff>125729</xdr:rowOff>
    </xdr:from>
    <xdr:to>
      <xdr:col>3</xdr:col>
      <xdr:colOff>531730</xdr:colOff>
      <xdr:row>36</xdr:row>
      <xdr:rowOff>154020</xdr:rowOff>
    </xdr:to>
    <xdr:sp macro="" textlink="">
      <xdr:nvSpPr>
        <xdr:cNvPr id="26" name="Rectangle 25">
          <a:extLst>
            <a:ext uri="{FF2B5EF4-FFF2-40B4-BE49-F238E27FC236}">
              <a16:creationId xmlns:a16="http://schemas.microsoft.com/office/drawing/2014/main" id="{977C4CC0-BEAD-4CA5-9748-B58F03548E84}"/>
            </a:ext>
          </a:extLst>
        </xdr:cNvPr>
        <xdr:cNvSpPr/>
      </xdr:nvSpPr>
      <xdr:spPr>
        <a:xfrm>
          <a:off x="2318752" y="5459729"/>
          <a:ext cx="45719" cy="1552291"/>
        </a:xfrm>
        <a:prstGeom prst="rect">
          <a:avLst/>
        </a:prstGeom>
        <a:solidFill>
          <a:srgbClr val="7A623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ussef mohamed" refreshedDate="46112.526348495368" createdVersion="8" refreshedVersion="8" minRefreshableVersion="3" recordCount="500" xr:uid="{FB2233DF-DB66-405D-98DE-D39432F9EF12}">
  <cacheSource type="worksheet">
    <worksheetSource name="Table2"/>
  </cacheSource>
  <cacheFields count="19">
    <cacheField name="Order ID" numFmtId="0">
      <sharedItems containsSemiMixedTypes="0" containsString="0" containsNumber="1" containsInteger="1" minValue="1055" maxValue="9997"/>
    </cacheField>
    <cacheField name="Customer Name" numFmtId="0">
      <sharedItems/>
    </cacheField>
    <cacheField name="Food Item" numFmtId="0">
      <sharedItems count="9">
        <s v="Burger"/>
        <s v="Ice Cream"/>
        <s v="Fries"/>
        <s v="Salad"/>
        <s v="Cake"/>
        <s v="Brownie"/>
        <s v="Soup"/>
        <s v="Pizza"/>
        <s v="Pasta"/>
      </sharedItems>
    </cacheField>
    <cacheField name="Category" numFmtId="0">
      <sharedItems count="3">
        <s v="Main"/>
        <s v="Dessert"/>
        <s v="Starter"/>
      </sharedItems>
    </cacheField>
    <cacheField name="Quantity" numFmtId="0">
      <sharedItems containsSemiMixedTypes="0" containsString="0" containsNumber="1" containsInteger="1" minValue="1" maxValue="5"/>
    </cacheField>
    <cacheField name="Price" numFmtId="2">
      <sharedItems containsSemiMixedTypes="0" containsString="0" containsNumber="1" minValue="2.06" maxValue="24.99"/>
    </cacheField>
    <cacheField name="Price Category" numFmtId="2">
      <sharedItems/>
    </cacheField>
    <cacheField name="Cost" numFmtId="2">
      <sharedItems containsSemiMixedTypes="0" containsString="0" containsNumber="1" minValue="1.236" maxValue="14.993999999999998"/>
    </cacheField>
    <cacheField name="Total Sales" numFmtId="0">
      <sharedItems containsSemiMixedTypes="0" containsString="0" containsNumber="1" minValue="2.46" maxValue="124.39999999999999"/>
    </cacheField>
    <cacheField name="Profit" numFmtId="2">
      <sharedItems containsSemiMixedTypes="0" containsString="0" containsNumber="1" minValue="0.98399999999999999" maxValue="109.47199999999999"/>
    </cacheField>
    <cacheField name="Profit_Margin" numFmtId="9">
      <sharedItems containsSemiMixedTypes="0" containsString="0" containsNumber="1" minValue="0.39999999999999997" maxValue="0.88000000000000012"/>
    </cacheField>
    <cacheField name="Payment Method" numFmtId="0">
      <sharedItems count="4">
        <s v="Cash"/>
        <s v="Online Payment"/>
        <s v="Debit Card"/>
        <s v="Credit Card"/>
      </sharedItems>
    </cacheField>
    <cacheField name="Order Date" numFmtId="14">
      <sharedItems containsSemiMixedTypes="0" containsNonDate="0" containsDate="1" containsString="0" minDate="2025-01-01T01:36:17" maxDate="2025-08-14T07:20:06"/>
    </cacheField>
    <cacheField name="Order Time" numFmtId="164">
      <sharedItems containsSemiMixedTypes="0" containsNonDate="0" containsDate="1" containsString="0" minDate="2025-01-01T01:36:17" maxDate="2025-08-14T07:20:06"/>
    </cacheField>
    <cacheField name="Month" numFmtId="0">
      <sharedItems count="8">
        <s v="Jan"/>
        <s v="Feb"/>
        <s v="Mar"/>
        <s v="Apr"/>
        <s v="May"/>
        <s v="Jun"/>
        <s v="Jul"/>
        <s v="Aug"/>
      </sharedItems>
    </cacheField>
    <cacheField name="Day" numFmtId="0">
      <sharedItems count="7">
        <s v="Wed"/>
        <s v="Thu"/>
        <s v="Fri"/>
        <s v="Sat"/>
        <s v="Sun"/>
        <s v="Tue"/>
        <s v="Mon"/>
      </sharedItems>
    </cacheField>
    <cacheField name="Day Type" numFmtId="0">
      <sharedItems count="2">
        <s v="Weekday"/>
        <s v="Weekend"/>
      </sharedItems>
    </cacheField>
    <cacheField name="Hour" numFmtId="0">
      <sharedItems containsSemiMixedTypes="0" containsString="0" containsNumber="1" containsInteger="1" minValue="0" maxValue="23"/>
    </cacheField>
    <cacheField name="Time Period" numFmtId="0">
      <sharedItems count="3">
        <s v="Morning"/>
        <s v="Afternoon"/>
        <s v="Evening"/>
      </sharedItems>
    </cacheField>
  </cacheFields>
  <extLst>
    <ext xmlns:x14="http://schemas.microsoft.com/office/spreadsheetml/2009/9/main" uri="{725AE2AE-9491-48be-B2B4-4EB974FC3084}">
      <x14:pivotCacheDefinition pivotCacheId="4573648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329"/>
    <s v="Monique Gonzalez"/>
    <x v="0"/>
    <x v="0"/>
    <n v="1"/>
    <n v="20.63"/>
    <s v="Premium"/>
    <n v="12.377999999999998"/>
    <n v="20.63"/>
    <n v="8.2520000000000007"/>
    <n v="0.40000000000000008"/>
    <x v="0"/>
    <d v="2025-01-01T01:36:17"/>
    <d v="2025-01-01T01:36:17"/>
    <x v="0"/>
    <x v="0"/>
    <x v="0"/>
    <n v="1"/>
    <x v="0"/>
  </r>
  <r>
    <n v="2065"/>
    <s v="Jade Gilbert"/>
    <x v="0"/>
    <x v="0"/>
    <n v="4"/>
    <n v="19.86"/>
    <s v="Mid-Range"/>
    <n v="11.915999999999999"/>
    <n v="79.44"/>
    <n v="67.524000000000001"/>
    <n v="0.85000000000000009"/>
    <x v="1"/>
    <d v="2025-01-02T10:36:15"/>
    <d v="2025-01-02T10:36:15"/>
    <x v="0"/>
    <x v="1"/>
    <x v="0"/>
    <n v="10"/>
    <x v="0"/>
  </r>
  <r>
    <n v="1489"/>
    <s v="James Moran"/>
    <x v="1"/>
    <x v="1"/>
    <n v="4"/>
    <n v="10"/>
    <s v="Mid-Range"/>
    <n v="6"/>
    <n v="40"/>
    <n v="34"/>
    <n v="0.85"/>
    <x v="0"/>
    <d v="2025-01-02T15:46:54"/>
    <d v="2025-01-02T15:46:54"/>
    <x v="0"/>
    <x v="1"/>
    <x v="0"/>
    <n v="15"/>
    <x v="1"/>
  </r>
  <r>
    <n v="4212"/>
    <s v="Juan Lucero"/>
    <x v="2"/>
    <x v="2"/>
    <n v="5"/>
    <n v="15.29"/>
    <s v="Mid-Range"/>
    <n v="9.1739999999999995"/>
    <n v="76.449999999999989"/>
    <n v="67.275999999999982"/>
    <n v="0.87999999999999989"/>
    <x v="2"/>
    <d v="2025-01-02T15:49:45"/>
    <d v="2025-01-02T15:49:45"/>
    <x v="0"/>
    <x v="1"/>
    <x v="0"/>
    <n v="15"/>
    <x v="1"/>
  </r>
  <r>
    <n v="4811"/>
    <s v="Steven Larson"/>
    <x v="3"/>
    <x v="2"/>
    <n v="5"/>
    <n v="8.06"/>
    <s v="Budget"/>
    <n v="4.8360000000000003"/>
    <n v="40.300000000000004"/>
    <n v="35.464000000000006"/>
    <n v="0.88"/>
    <x v="0"/>
    <d v="2025-01-03T06:06:56"/>
    <d v="2025-01-03T06:06:56"/>
    <x v="0"/>
    <x v="2"/>
    <x v="1"/>
    <n v="6"/>
    <x v="0"/>
  </r>
  <r>
    <n v="2391"/>
    <s v="Denise Thompson"/>
    <x v="3"/>
    <x v="2"/>
    <n v="1"/>
    <n v="9.02"/>
    <s v="Budget"/>
    <n v="5.4119999999999999"/>
    <n v="9.02"/>
    <n v="3.6079999999999997"/>
    <n v="0.39999999999999997"/>
    <x v="2"/>
    <d v="2025-01-04T01:09:15"/>
    <d v="2025-01-04T01:09:15"/>
    <x v="0"/>
    <x v="3"/>
    <x v="1"/>
    <n v="1"/>
    <x v="0"/>
  </r>
  <r>
    <n v="7960"/>
    <s v="Diana House"/>
    <x v="4"/>
    <x v="1"/>
    <n v="3"/>
    <n v="5.09"/>
    <s v="Budget"/>
    <n v="3.0539999999999998"/>
    <n v="15.27"/>
    <n v="12.215999999999999"/>
    <n v="0.79999999999999993"/>
    <x v="0"/>
    <d v="2025-01-04T06:48:05"/>
    <d v="2025-01-04T06:48:05"/>
    <x v="0"/>
    <x v="3"/>
    <x v="1"/>
    <n v="6"/>
    <x v="0"/>
  </r>
  <r>
    <n v="9126"/>
    <s v="Dale Salinas"/>
    <x v="5"/>
    <x v="1"/>
    <n v="5"/>
    <n v="23.28"/>
    <s v="Premium"/>
    <n v="13.968"/>
    <n v="116.4"/>
    <n v="102.432"/>
    <n v="0.88"/>
    <x v="3"/>
    <d v="2025-01-05T06:31:17"/>
    <d v="2025-01-05T06:31:17"/>
    <x v="0"/>
    <x v="4"/>
    <x v="0"/>
    <n v="6"/>
    <x v="0"/>
  </r>
  <r>
    <n v="5359"/>
    <s v="Teresa Rollins"/>
    <x v="1"/>
    <x v="1"/>
    <n v="5"/>
    <n v="19.48"/>
    <s v="Mid-Range"/>
    <n v="11.688000000000001"/>
    <n v="97.4"/>
    <n v="85.712000000000003"/>
    <n v="0.88"/>
    <x v="0"/>
    <d v="2025-01-05T08:03:06"/>
    <d v="2025-01-05T08:03:06"/>
    <x v="0"/>
    <x v="4"/>
    <x v="0"/>
    <n v="8"/>
    <x v="0"/>
  </r>
  <r>
    <n v="4855"/>
    <s v="Todd Brown"/>
    <x v="4"/>
    <x v="1"/>
    <n v="2"/>
    <n v="4.09"/>
    <s v="Budget"/>
    <n v="2.4539999999999997"/>
    <n v="8.18"/>
    <n v="5.726"/>
    <n v="0.70000000000000007"/>
    <x v="3"/>
    <d v="2025-01-05T20:38:45"/>
    <d v="2025-01-05T20:38:45"/>
    <x v="0"/>
    <x v="4"/>
    <x v="0"/>
    <n v="20"/>
    <x v="2"/>
  </r>
  <r>
    <n v="8184"/>
    <s v="Amanda Keller"/>
    <x v="5"/>
    <x v="1"/>
    <n v="2"/>
    <n v="8.43"/>
    <s v="Budget"/>
    <n v="5.0579999999999998"/>
    <n v="16.86"/>
    <n v="11.802"/>
    <n v="0.7"/>
    <x v="2"/>
    <d v="2025-01-07T05:36:19"/>
    <d v="2025-01-07T05:36:19"/>
    <x v="0"/>
    <x v="5"/>
    <x v="0"/>
    <n v="5"/>
    <x v="0"/>
  </r>
  <r>
    <n v="8629"/>
    <s v="Mrs. Melissa Schmidt"/>
    <x v="0"/>
    <x v="0"/>
    <n v="1"/>
    <n v="9.2799999999999994"/>
    <s v="Budget"/>
    <n v="5.5679999999999996"/>
    <n v="9.2799999999999994"/>
    <n v="3.7119999999999997"/>
    <n v="0.4"/>
    <x v="2"/>
    <d v="2025-01-07T07:38:02"/>
    <d v="2025-01-07T07:38:02"/>
    <x v="0"/>
    <x v="5"/>
    <x v="0"/>
    <n v="7"/>
    <x v="0"/>
  </r>
  <r>
    <n v="4296"/>
    <s v="Jeffrey Hernandez"/>
    <x v="3"/>
    <x v="2"/>
    <n v="1"/>
    <n v="13.44"/>
    <s v="Mid-Range"/>
    <n v="8.0640000000000001"/>
    <n v="13.44"/>
    <n v="5.3759999999999994"/>
    <n v="0.39999999999999997"/>
    <x v="1"/>
    <d v="2025-01-08T12:57:28"/>
    <d v="2025-01-08T12:57:28"/>
    <x v="0"/>
    <x v="0"/>
    <x v="0"/>
    <n v="12"/>
    <x v="1"/>
  </r>
  <r>
    <n v="1055"/>
    <s v="David Gutierrez"/>
    <x v="1"/>
    <x v="1"/>
    <n v="5"/>
    <n v="3.97"/>
    <s v="Budget"/>
    <n v="2.3820000000000001"/>
    <n v="19.850000000000001"/>
    <n v="17.468"/>
    <n v="0.87999999999999989"/>
    <x v="1"/>
    <d v="2025-01-08T22:56:09"/>
    <d v="2025-01-08T22:56:09"/>
    <x v="0"/>
    <x v="0"/>
    <x v="0"/>
    <n v="22"/>
    <x v="2"/>
  </r>
  <r>
    <n v="9593"/>
    <s v="Jamie Phillips"/>
    <x v="2"/>
    <x v="2"/>
    <n v="5"/>
    <n v="12.02"/>
    <s v="Mid-Range"/>
    <n v="7.2119999999999997"/>
    <n v="60.099999999999994"/>
    <n v="52.887999999999991"/>
    <n v="0.87999999999999989"/>
    <x v="2"/>
    <d v="2025-01-09T13:54:39"/>
    <d v="2025-01-09T13:54:39"/>
    <x v="0"/>
    <x v="1"/>
    <x v="0"/>
    <n v="13"/>
    <x v="1"/>
  </r>
  <r>
    <n v="7901"/>
    <s v="Karen Hester"/>
    <x v="6"/>
    <x v="2"/>
    <n v="4"/>
    <n v="3.07"/>
    <s v="Budget"/>
    <n v="1.8419999999999999"/>
    <n v="12.28"/>
    <n v="10.437999999999999"/>
    <n v="0.85"/>
    <x v="2"/>
    <d v="2025-01-10T21:51:21"/>
    <d v="2025-01-10T21:51:21"/>
    <x v="0"/>
    <x v="2"/>
    <x v="1"/>
    <n v="21"/>
    <x v="2"/>
  </r>
  <r>
    <n v="2814"/>
    <s v="Susan Browning"/>
    <x v="7"/>
    <x v="0"/>
    <n v="1"/>
    <n v="8.5"/>
    <s v="Budget"/>
    <n v="5.0999999999999996"/>
    <n v="8.5"/>
    <n v="3.4000000000000004"/>
    <n v="0.4"/>
    <x v="2"/>
    <d v="2025-01-10T23:10:29"/>
    <d v="2025-01-10T23:10:29"/>
    <x v="0"/>
    <x v="2"/>
    <x v="1"/>
    <n v="23"/>
    <x v="2"/>
  </r>
  <r>
    <n v="9997"/>
    <s v="Elizabeth Hunter"/>
    <x v="6"/>
    <x v="2"/>
    <n v="1"/>
    <n v="4.58"/>
    <s v="Budget"/>
    <n v="2.7479999999999998"/>
    <n v="4.58"/>
    <n v="1.8320000000000003"/>
    <n v="0.40000000000000008"/>
    <x v="2"/>
    <d v="2025-01-11T00:23:42"/>
    <d v="2025-01-11T00:23:42"/>
    <x v="0"/>
    <x v="3"/>
    <x v="1"/>
    <n v="0"/>
    <x v="0"/>
  </r>
  <r>
    <n v="6247"/>
    <s v="Ryan Zavala"/>
    <x v="7"/>
    <x v="0"/>
    <n v="5"/>
    <n v="8.5399999999999991"/>
    <s v="Budget"/>
    <n v="5.1239999999999997"/>
    <n v="42.699999999999996"/>
    <n v="37.575999999999993"/>
    <n v="0.87999999999999989"/>
    <x v="2"/>
    <d v="2025-01-11T05:34:39"/>
    <d v="2025-01-11T05:34:39"/>
    <x v="0"/>
    <x v="3"/>
    <x v="1"/>
    <n v="5"/>
    <x v="0"/>
  </r>
  <r>
    <n v="3655"/>
    <s v="Melanie Keller"/>
    <x v="2"/>
    <x v="2"/>
    <n v="1"/>
    <n v="6.07"/>
    <s v="Budget"/>
    <n v="3.6419999999999999"/>
    <n v="6.07"/>
    <n v="2.4280000000000004"/>
    <n v="0.4"/>
    <x v="2"/>
    <d v="2025-01-11T12:27:45"/>
    <d v="2025-01-11T12:27:45"/>
    <x v="0"/>
    <x v="3"/>
    <x v="1"/>
    <n v="12"/>
    <x v="1"/>
  </r>
  <r>
    <n v="9267"/>
    <s v="Hailey Massey"/>
    <x v="5"/>
    <x v="1"/>
    <n v="5"/>
    <n v="20.81"/>
    <s v="Premium"/>
    <n v="12.485999999999999"/>
    <n v="104.05"/>
    <n v="91.563999999999993"/>
    <n v="0.88"/>
    <x v="0"/>
    <d v="2025-01-12T06:36:13"/>
    <d v="2025-01-12T06:36:13"/>
    <x v="0"/>
    <x v="4"/>
    <x v="0"/>
    <n v="6"/>
    <x v="0"/>
  </r>
  <r>
    <n v="7554"/>
    <s v="Maurice Lyons"/>
    <x v="8"/>
    <x v="0"/>
    <n v="4"/>
    <n v="2.69"/>
    <s v="Budget"/>
    <n v="1.6139999999999999"/>
    <n v="10.76"/>
    <n v="9.1460000000000008"/>
    <n v="0.85000000000000009"/>
    <x v="3"/>
    <d v="2025-01-12T07:18:52"/>
    <d v="2025-01-12T07:18:52"/>
    <x v="0"/>
    <x v="4"/>
    <x v="0"/>
    <n v="7"/>
    <x v="0"/>
  </r>
  <r>
    <n v="5166"/>
    <s v="Thomas Burch"/>
    <x v="1"/>
    <x v="1"/>
    <n v="1"/>
    <n v="11.52"/>
    <s v="Mid-Range"/>
    <n v="6.9119999999999999"/>
    <n v="11.52"/>
    <n v="4.6079999999999997"/>
    <n v="0.39999999999999997"/>
    <x v="3"/>
    <d v="2025-01-12T08:32:52"/>
    <d v="2025-01-12T08:32:52"/>
    <x v="0"/>
    <x v="4"/>
    <x v="0"/>
    <n v="8"/>
    <x v="0"/>
  </r>
  <r>
    <n v="9412"/>
    <s v="Elizabeth Clark"/>
    <x v="4"/>
    <x v="1"/>
    <n v="2"/>
    <n v="18.29"/>
    <s v="Mid-Range"/>
    <n v="10.973999999999998"/>
    <n v="36.58"/>
    <n v="25.606000000000002"/>
    <n v="0.70000000000000007"/>
    <x v="3"/>
    <d v="2025-01-12T09:01:38"/>
    <d v="2025-01-12T09:01:38"/>
    <x v="0"/>
    <x v="4"/>
    <x v="0"/>
    <n v="9"/>
    <x v="0"/>
  </r>
  <r>
    <n v="3193"/>
    <s v="Matthew Lara"/>
    <x v="0"/>
    <x v="0"/>
    <n v="4"/>
    <n v="14.15"/>
    <s v="Mid-Range"/>
    <n v="8.49"/>
    <n v="56.6"/>
    <n v="48.11"/>
    <n v="0.85"/>
    <x v="1"/>
    <d v="2025-01-13T07:45:25"/>
    <d v="2025-01-13T07:45:25"/>
    <x v="0"/>
    <x v="6"/>
    <x v="0"/>
    <n v="7"/>
    <x v="0"/>
  </r>
  <r>
    <n v="6323"/>
    <s v="Alyssa Anthony"/>
    <x v="7"/>
    <x v="0"/>
    <n v="1"/>
    <n v="21.31"/>
    <s v="Premium"/>
    <n v="12.786"/>
    <n v="21.31"/>
    <n v="8.5239999999999991"/>
    <n v="0.39999999999999997"/>
    <x v="0"/>
    <d v="2025-01-15T19:21:02"/>
    <d v="2025-01-15T19:21:02"/>
    <x v="0"/>
    <x v="0"/>
    <x v="0"/>
    <n v="19"/>
    <x v="2"/>
  </r>
  <r>
    <n v="5133"/>
    <s v="Diane Myers"/>
    <x v="0"/>
    <x v="0"/>
    <n v="4"/>
    <n v="3.18"/>
    <s v="Budget"/>
    <n v="1.9079999999999999"/>
    <n v="12.72"/>
    <n v="10.812000000000001"/>
    <n v="0.85000000000000009"/>
    <x v="0"/>
    <d v="2025-01-16T05:47:36"/>
    <d v="2025-01-16T05:47:36"/>
    <x v="0"/>
    <x v="1"/>
    <x v="0"/>
    <n v="5"/>
    <x v="0"/>
  </r>
  <r>
    <n v="2261"/>
    <s v="Sara Garcia"/>
    <x v="6"/>
    <x v="2"/>
    <n v="2"/>
    <n v="12.87"/>
    <s v="Mid-Range"/>
    <n v="7.7219999999999995"/>
    <n v="25.74"/>
    <n v="18.018000000000001"/>
    <n v="0.70000000000000007"/>
    <x v="0"/>
    <d v="2025-01-16T05:53:32"/>
    <d v="2025-01-16T05:53:32"/>
    <x v="0"/>
    <x v="1"/>
    <x v="0"/>
    <n v="5"/>
    <x v="0"/>
  </r>
  <r>
    <n v="9429"/>
    <s v="Francisco Ramos"/>
    <x v="7"/>
    <x v="0"/>
    <n v="4"/>
    <n v="14.73"/>
    <s v="Mid-Range"/>
    <n v="8.8379999999999992"/>
    <n v="58.92"/>
    <n v="50.082000000000001"/>
    <n v="0.85"/>
    <x v="1"/>
    <d v="2025-01-16T23:15:16"/>
    <d v="2025-01-16T23:15:16"/>
    <x v="0"/>
    <x v="1"/>
    <x v="0"/>
    <n v="23"/>
    <x v="2"/>
  </r>
  <r>
    <n v="6815"/>
    <s v="Kurt Washington"/>
    <x v="4"/>
    <x v="1"/>
    <n v="4"/>
    <n v="10.62"/>
    <s v="Mid-Range"/>
    <n v="6.371999999999999"/>
    <n v="42.48"/>
    <n v="36.107999999999997"/>
    <n v="0.85"/>
    <x v="1"/>
    <d v="2025-01-18T02:30:54"/>
    <d v="2025-01-18T02:30:54"/>
    <x v="0"/>
    <x v="3"/>
    <x v="1"/>
    <n v="2"/>
    <x v="0"/>
  </r>
  <r>
    <n v="7586"/>
    <s v="Mr. Douglas James MD"/>
    <x v="8"/>
    <x v="0"/>
    <n v="4"/>
    <n v="7.76"/>
    <s v="Budget"/>
    <n v="4.6559999999999997"/>
    <n v="31.04"/>
    <n v="26.384"/>
    <n v="0.85000000000000009"/>
    <x v="1"/>
    <d v="2025-01-18T12:47:22"/>
    <d v="2025-01-18T12:47:22"/>
    <x v="0"/>
    <x v="3"/>
    <x v="1"/>
    <n v="12"/>
    <x v="1"/>
  </r>
  <r>
    <n v="7910"/>
    <s v="Christopher Ruiz"/>
    <x v="3"/>
    <x v="2"/>
    <n v="1"/>
    <n v="15.78"/>
    <s v="Mid-Range"/>
    <n v="9.468"/>
    <n v="15.78"/>
    <n v="6.3119999999999994"/>
    <n v="0.39999999999999997"/>
    <x v="1"/>
    <d v="2025-01-18T18:55:13"/>
    <d v="2025-01-18T18:55:13"/>
    <x v="0"/>
    <x v="3"/>
    <x v="1"/>
    <n v="18"/>
    <x v="2"/>
  </r>
  <r>
    <n v="6329"/>
    <s v="James Thomas"/>
    <x v="0"/>
    <x v="0"/>
    <n v="3"/>
    <n v="3.26"/>
    <s v="Budget"/>
    <n v="1.9559999999999997"/>
    <n v="9.7799999999999994"/>
    <n v="7.8239999999999998"/>
    <n v="0.8"/>
    <x v="1"/>
    <d v="2025-01-18T21:53:02"/>
    <d v="2025-01-18T21:53:02"/>
    <x v="0"/>
    <x v="3"/>
    <x v="1"/>
    <n v="21"/>
    <x v="2"/>
  </r>
  <r>
    <n v="6341"/>
    <s v="Patrick Gibson"/>
    <x v="8"/>
    <x v="0"/>
    <n v="4"/>
    <n v="16.48"/>
    <s v="Mid-Range"/>
    <n v="9.8879999999999999"/>
    <n v="65.92"/>
    <n v="56.032000000000004"/>
    <n v="0.85"/>
    <x v="0"/>
    <d v="2025-01-20T20:30:07"/>
    <d v="2025-01-20T20:30:07"/>
    <x v="0"/>
    <x v="6"/>
    <x v="0"/>
    <n v="20"/>
    <x v="2"/>
  </r>
  <r>
    <n v="7469"/>
    <s v="Jasmine Sharp"/>
    <x v="2"/>
    <x v="2"/>
    <n v="3"/>
    <n v="16.38"/>
    <s v="Mid-Range"/>
    <n v="9.8279999999999994"/>
    <n v="49.14"/>
    <n v="39.311999999999998"/>
    <n v="0.79999999999999993"/>
    <x v="0"/>
    <d v="2025-01-20T21:57:48"/>
    <d v="2025-01-20T21:57:48"/>
    <x v="0"/>
    <x v="6"/>
    <x v="0"/>
    <n v="21"/>
    <x v="2"/>
  </r>
  <r>
    <n v="2849"/>
    <s v="Jasmine Harvey"/>
    <x v="5"/>
    <x v="1"/>
    <n v="1"/>
    <n v="7.33"/>
    <s v="Budget"/>
    <n v="4.3979999999999997"/>
    <n v="7.33"/>
    <n v="2.9320000000000004"/>
    <n v="0.4"/>
    <x v="0"/>
    <d v="2025-01-21T11:10:17"/>
    <d v="2025-01-21T11:10:17"/>
    <x v="0"/>
    <x v="5"/>
    <x v="0"/>
    <n v="11"/>
    <x v="0"/>
  </r>
  <r>
    <n v="9332"/>
    <s v="Michelle Rodriguez"/>
    <x v="6"/>
    <x v="2"/>
    <n v="3"/>
    <n v="14.6"/>
    <s v="Mid-Range"/>
    <n v="8.76"/>
    <n v="43.8"/>
    <n v="35.04"/>
    <n v="0.8"/>
    <x v="1"/>
    <d v="2025-01-21T23:18:26"/>
    <d v="2025-01-21T23:18:26"/>
    <x v="0"/>
    <x v="5"/>
    <x v="0"/>
    <n v="23"/>
    <x v="2"/>
  </r>
  <r>
    <n v="4224"/>
    <s v="Carlos Downs"/>
    <x v="8"/>
    <x v="0"/>
    <n v="4"/>
    <n v="24.36"/>
    <s v="Premium"/>
    <n v="14.616"/>
    <n v="97.44"/>
    <n v="82.823999999999998"/>
    <n v="0.85"/>
    <x v="2"/>
    <d v="2025-01-22T01:14:54"/>
    <d v="2025-01-22T01:14:54"/>
    <x v="0"/>
    <x v="0"/>
    <x v="0"/>
    <n v="1"/>
    <x v="0"/>
  </r>
  <r>
    <n v="9779"/>
    <s v="Bobby Miles"/>
    <x v="7"/>
    <x v="0"/>
    <n v="5"/>
    <n v="9.43"/>
    <s v="Budget"/>
    <n v="5.6579999999999995"/>
    <n v="47.15"/>
    <n v="41.491999999999997"/>
    <n v="0.88"/>
    <x v="1"/>
    <d v="2025-01-22T08:47:12"/>
    <d v="2025-01-22T08:47:12"/>
    <x v="0"/>
    <x v="0"/>
    <x v="0"/>
    <n v="8"/>
    <x v="0"/>
  </r>
  <r>
    <n v="8445"/>
    <s v="Shawn Cherry"/>
    <x v="5"/>
    <x v="1"/>
    <n v="3"/>
    <n v="6.18"/>
    <s v="Budget"/>
    <n v="3.7079999999999997"/>
    <n v="18.54"/>
    <n v="14.831999999999999"/>
    <n v="0.79999999999999993"/>
    <x v="0"/>
    <d v="2025-01-22T11:31:53"/>
    <d v="2025-01-22T11:31:53"/>
    <x v="0"/>
    <x v="0"/>
    <x v="0"/>
    <n v="11"/>
    <x v="0"/>
  </r>
  <r>
    <n v="7725"/>
    <s v="Larry Perry MD"/>
    <x v="7"/>
    <x v="0"/>
    <n v="2"/>
    <n v="5.31"/>
    <s v="Budget"/>
    <n v="3.1859999999999995"/>
    <n v="10.62"/>
    <n v="7.4339999999999993"/>
    <n v="0.7"/>
    <x v="3"/>
    <d v="2025-01-23T14:59:47"/>
    <d v="2025-01-23T14:59:47"/>
    <x v="0"/>
    <x v="1"/>
    <x v="0"/>
    <n v="14"/>
    <x v="1"/>
  </r>
  <r>
    <n v="7301"/>
    <s v="Kimberly Tyler"/>
    <x v="2"/>
    <x v="2"/>
    <n v="4"/>
    <n v="2.81"/>
    <s v="Budget"/>
    <n v="1.6859999999999999"/>
    <n v="11.24"/>
    <n v="9.5540000000000003"/>
    <n v="0.85"/>
    <x v="3"/>
    <d v="2025-01-24T10:51:26"/>
    <d v="2025-01-24T10:51:26"/>
    <x v="0"/>
    <x v="2"/>
    <x v="1"/>
    <n v="10"/>
    <x v="0"/>
  </r>
  <r>
    <n v="5324"/>
    <s v="Lauren Mendez"/>
    <x v="7"/>
    <x v="0"/>
    <n v="1"/>
    <n v="22.59"/>
    <s v="Premium"/>
    <n v="13.554"/>
    <n v="22.59"/>
    <n v="9.0359999999999996"/>
    <n v="0.39999999999999997"/>
    <x v="1"/>
    <d v="2025-01-24T19:52:44"/>
    <d v="2025-01-24T19:52:44"/>
    <x v="0"/>
    <x v="2"/>
    <x v="1"/>
    <n v="19"/>
    <x v="2"/>
  </r>
  <r>
    <n v="4870"/>
    <s v="Casey Jones"/>
    <x v="4"/>
    <x v="1"/>
    <n v="2"/>
    <n v="8.52"/>
    <s v="Budget"/>
    <n v="5.1119999999999992"/>
    <n v="17.04"/>
    <n v="11.928000000000001"/>
    <n v="0.70000000000000007"/>
    <x v="1"/>
    <d v="2025-01-25T07:34:14"/>
    <d v="2025-01-25T07:34:14"/>
    <x v="0"/>
    <x v="3"/>
    <x v="1"/>
    <n v="7"/>
    <x v="0"/>
  </r>
  <r>
    <n v="7720"/>
    <s v="Lynn Smith"/>
    <x v="4"/>
    <x v="1"/>
    <n v="1"/>
    <n v="22.1"/>
    <s v="Premium"/>
    <n v="13.26"/>
    <n v="22.1"/>
    <n v="8.8400000000000016"/>
    <n v="0.4"/>
    <x v="2"/>
    <d v="2025-01-25T12:55:55"/>
    <d v="2025-01-25T12:55:55"/>
    <x v="0"/>
    <x v="3"/>
    <x v="1"/>
    <n v="12"/>
    <x v="1"/>
  </r>
  <r>
    <n v="5766"/>
    <s v="Robert Glover"/>
    <x v="5"/>
    <x v="1"/>
    <n v="5"/>
    <n v="6.02"/>
    <s v="Budget"/>
    <n v="3.6119999999999997"/>
    <n v="30.099999999999998"/>
    <n v="26.488"/>
    <n v="0.88"/>
    <x v="2"/>
    <d v="2025-01-25T20:37:46"/>
    <d v="2025-01-25T20:37:46"/>
    <x v="0"/>
    <x v="3"/>
    <x v="1"/>
    <n v="20"/>
    <x v="2"/>
  </r>
  <r>
    <n v="4165"/>
    <s v="Ashley Swanson"/>
    <x v="0"/>
    <x v="0"/>
    <n v="5"/>
    <n v="19.010000000000002"/>
    <s v="Mid-Range"/>
    <n v="11.406000000000001"/>
    <n v="95.050000000000011"/>
    <n v="83.644000000000005"/>
    <n v="0.88"/>
    <x v="0"/>
    <d v="2025-01-26T01:02:43"/>
    <d v="2025-01-26T01:02:43"/>
    <x v="0"/>
    <x v="4"/>
    <x v="0"/>
    <n v="1"/>
    <x v="0"/>
  </r>
  <r>
    <n v="3721"/>
    <s v="Nathan Harris"/>
    <x v="1"/>
    <x v="1"/>
    <n v="1"/>
    <n v="21.76"/>
    <s v="Premium"/>
    <n v="13.056000000000001"/>
    <n v="21.76"/>
    <n v="8.7040000000000006"/>
    <n v="0.4"/>
    <x v="1"/>
    <d v="2025-01-26T04:04:59"/>
    <d v="2025-01-26T04:04:59"/>
    <x v="0"/>
    <x v="4"/>
    <x v="0"/>
    <n v="4"/>
    <x v="0"/>
  </r>
  <r>
    <n v="1684"/>
    <s v="Logan Maddox"/>
    <x v="4"/>
    <x v="1"/>
    <n v="3"/>
    <n v="5.18"/>
    <s v="Budget"/>
    <n v="3.1079999999999997"/>
    <n v="15.54"/>
    <n v="12.431999999999999"/>
    <n v="0.79999999999999993"/>
    <x v="2"/>
    <d v="2025-01-27T14:30:34"/>
    <d v="2025-01-27T14:30:34"/>
    <x v="0"/>
    <x v="6"/>
    <x v="0"/>
    <n v="14"/>
    <x v="1"/>
  </r>
  <r>
    <n v="9319"/>
    <s v="John Mckinney"/>
    <x v="1"/>
    <x v="1"/>
    <n v="4"/>
    <n v="14.17"/>
    <s v="Mid-Range"/>
    <n v="8.5019999999999989"/>
    <n v="56.68"/>
    <n v="48.177999999999997"/>
    <n v="0.85"/>
    <x v="1"/>
    <d v="2025-01-28T08:27:51"/>
    <d v="2025-01-28T08:27:51"/>
    <x v="0"/>
    <x v="5"/>
    <x v="0"/>
    <n v="8"/>
    <x v="0"/>
  </r>
  <r>
    <n v="1964"/>
    <s v="Ana Brooks"/>
    <x v="6"/>
    <x v="2"/>
    <n v="3"/>
    <n v="9.86"/>
    <s v="Budget"/>
    <n v="5.9159999999999995"/>
    <n v="29.58"/>
    <n v="23.663999999999998"/>
    <n v="0.79999999999999993"/>
    <x v="0"/>
    <d v="2025-01-28T08:49:22"/>
    <d v="2025-01-28T08:49:22"/>
    <x v="0"/>
    <x v="5"/>
    <x v="0"/>
    <n v="8"/>
    <x v="0"/>
  </r>
  <r>
    <n v="6939"/>
    <s v="Tracy Bryant"/>
    <x v="2"/>
    <x v="2"/>
    <n v="1"/>
    <n v="6.67"/>
    <s v="Budget"/>
    <n v="4.0019999999999998"/>
    <n v="6.67"/>
    <n v="2.6680000000000001"/>
    <n v="0.4"/>
    <x v="3"/>
    <d v="2025-01-28T09:19:52"/>
    <d v="2025-01-28T09:19:52"/>
    <x v="0"/>
    <x v="5"/>
    <x v="0"/>
    <n v="9"/>
    <x v="0"/>
  </r>
  <r>
    <n v="5080"/>
    <s v="Jean Morris"/>
    <x v="1"/>
    <x v="1"/>
    <n v="2"/>
    <n v="3.79"/>
    <s v="Budget"/>
    <n v="2.274"/>
    <n v="7.58"/>
    <n v="5.306"/>
    <n v="0.7"/>
    <x v="2"/>
    <d v="2025-01-28T13:23:24"/>
    <d v="2025-01-28T13:23:24"/>
    <x v="0"/>
    <x v="5"/>
    <x v="0"/>
    <n v="13"/>
    <x v="1"/>
  </r>
  <r>
    <n v="4908"/>
    <s v="Christina Garcia"/>
    <x v="1"/>
    <x v="1"/>
    <n v="4"/>
    <n v="2.5099999999999998"/>
    <s v="Budget"/>
    <n v="1.5059999999999998"/>
    <n v="10.039999999999999"/>
    <n v="8.5339999999999989"/>
    <n v="0.85"/>
    <x v="1"/>
    <d v="2025-01-28T14:45:09"/>
    <d v="2025-01-28T14:45:09"/>
    <x v="0"/>
    <x v="5"/>
    <x v="0"/>
    <n v="14"/>
    <x v="1"/>
  </r>
  <r>
    <n v="2458"/>
    <s v="Robert James"/>
    <x v="0"/>
    <x v="0"/>
    <n v="2"/>
    <n v="18.829999999999998"/>
    <s v="Mid-Range"/>
    <n v="11.297999999999998"/>
    <n v="37.659999999999997"/>
    <n v="26.361999999999998"/>
    <n v="0.70000000000000007"/>
    <x v="1"/>
    <d v="2025-01-28T21:40:10"/>
    <d v="2025-01-28T21:40:10"/>
    <x v="0"/>
    <x v="5"/>
    <x v="0"/>
    <n v="21"/>
    <x v="2"/>
  </r>
  <r>
    <n v="6805"/>
    <s v="Michael Roberts"/>
    <x v="2"/>
    <x v="2"/>
    <n v="1"/>
    <n v="16.32"/>
    <s v="Mid-Range"/>
    <n v="9.7919999999999998"/>
    <n v="16.32"/>
    <n v="6.5280000000000005"/>
    <n v="0.4"/>
    <x v="3"/>
    <d v="2025-01-29T03:45:58"/>
    <d v="2025-01-29T03:45:58"/>
    <x v="0"/>
    <x v="0"/>
    <x v="0"/>
    <n v="3"/>
    <x v="0"/>
  </r>
  <r>
    <n v="7016"/>
    <s v="Melinda Levine"/>
    <x v="2"/>
    <x v="2"/>
    <n v="5"/>
    <n v="9"/>
    <s v="Budget"/>
    <n v="5.3999999999999995"/>
    <n v="45"/>
    <n v="39.6"/>
    <n v="0.88"/>
    <x v="3"/>
    <d v="2025-01-29T10:09:32"/>
    <d v="2025-01-29T10:09:32"/>
    <x v="0"/>
    <x v="0"/>
    <x v="0"/>
    <n v="10"/>
    <x v="0"/>
  </r>
  <r>
    <n v="6578"/>
    <s v="Derek Delgado"/>
    <x v="2"/>
    <x v="2"/>
    <n v="4"/>
    <n v="16.739999999999998"/>
    <s v="Mid-Range"/>
    <n v="10.043999999999999"/>
    <n v="66.959999999999994"/>
    <n v="56.915999999999997"/>
    <n v="0.85"/>
    <x v="0"/>
    <d v="2025-01-29T18:05:24"/>
    <d v="2025-01-29T18:05:24"/>
    <x v="0"/>
    <x v="0"/>
    <x v="0"/>
    <n v="18"/>
    <x v="2"/>
  </r>
  <r>
    <n v="4050"/>
    <s v="Deborah Morris"/>
    <x v="2"/>
    <x v="2"/>
    <n v="5"/>
    <n v="5.92"/>
    <s v="Budget"/>
    <n v="3.552"/>
    <n v="29.6"/>
    <n v="26.048000000000002"/>
    <n v="0.88"/>
    <x v="1"/>
    <d v="2025-01-31T10:05:26"/>
    <d v="2025-01-31T10:05:26"/>
    <x v="0"/>
    <x v="2"/>
    <x v="1"/>
    <n v="10"/>
    <x v="0"/>
  </r>
  <r>
    <n v="2945"/>
    <s v="Adam Klein"/>
    <x v="7"/>
    <x v="0"/>
    <n v="5"/>
    <n v="13.3"/>
    <s v="Mid-Range"/>
    <n v="7.98"/>
    <n v="66.5"/>
    <n v="58.519999999999996"/>
    <n v="0.87999999999999989"/>
    <x v="0"/>
    <d v="2025-02-01T03:46:08"/>
    <d v="2025-02-01T03:46:08"/>
    <x v="1"/>
    <x v="3"/>
    <x v="1"/>
    <n v="3"/>
    <x v="0"/>
  </r>
  <r>
    <n v="4860"/>
    <s v="Eric Garcia"/>
    <x v="1"/>
    <x v="1"/>
    <n v="3"/>
    <n v="8.02"/>
    <s v="Budget"/>
    <n v="4.8119999999999994"/>
    <n v="24.06"/>
    <n v="19.247999999999998"/>
    <n v="0.79999999999999993"/>
    <x v="2"/>
    <d v="2025-02-01T04:21:21"/>
    <d v="2025-02-01T04:21:21"/>
    <x v="1"/>
    <x v="3"/>
    <x v="1"/>
    <n v="4"/>
    <x v="0"/>
  </r>
  <r>
    <n v="8168"/>
    <s v="Curtis Townsend"/>
    <x v="3"/>
    <x v="2"/>
    <n v="2"/>
    <n v="5.95"/>
    <s v="Budget"/>
    <n v="3.57"/>
    <n v="11.9"/>
    <n v="8.33"/>
    <n v="0.7"/>
    <x v="3"/>
    <d v="2025-02-02T01:44:49"/>
    <d v="2025-02-02T01:44:49"/>
    <x v="1"/>
    <x v="4"/>
    <x v="0"/>
    <n v="1"/>
    <x v="0"/>
  </r>
  <r>
    <n v="8278"/>
    <s v="Patricia Nunez"/>
    <x v="5"/>
    <x v="1"/>
    <n v="3"/>
    <n v="18.95"/>
    <s v="Mid-Range"/>
    <n v="11.37"/>
    <n v="56.849999999999994"/>
    <n v="45.48"/>
    <n v="0.8"/>
    <x v="3"/>
    <d v="2025-02-02T02:30:15"/>
    <d v="2025-02-02T02:30:15"/>
    <x v="1"/>
    <x v="4"/>
    <x v="0"/>
    <n v="2"/>
    <x v="0"/>
  </r>
  <r>
    <n v="3172"/>
    <s v="Deanna Glover"/>
    <x v="4"/>
    <x v="1"/>
    <n v="1"/>
    <n v="4.57"/>
    <s v="Budget"/>
    <n v="2.742"/>
    <n v="4.57"/>
    <n v="1.8280000000000003"/>
    <n v="0.4"/>
    <x v="1"/>
    <d v="2025-02-02T04:51:29"/>
    <d v="2025-02-02T04:51:29"/>
    <x v="1"/>
    <x v="4"/>
    <x v="0"/>
    <n v="4"/>
    <x v="0"/>
  </r>
  <r>
    <n v="2910"/>
    <s v="Dr. Brian Byrd"/>
    <x v="6"/>
    <x v="2"/>
    <n v="2"/>
    <n v="17.97"/>
    <s v="Mid-Range"/>
    <n v="10.781999999999998"/>
    <n v="35.94"/>
    <n v="25.158000000000001"/>
    <n v="0.70000000000000007"/>
    <x v="1"/>
    <d v="2025-02-02T11:53:09"/>
    <d v="2025-02-02T11:53:09"/>
    <x v="1"/>
    <x v="4"/>
    <x v="0"/>
    <n v="11"/>
    <x v="0"/>
  </r>
  <r>
    <n v="2268"/>
    <s v="Mary Vega DDS"/>
    <x v="8"/>
    <x v="0"/>
    <n v="5"/>
    <n v="16.52"/>
    <s v="Mid-Range"/>
    <n v="9.911999999999999"/>
    <n v="82.6"/>
    <n v="72.687999999999988"/>
    <n v="0.87999999999999989"/>
    <x v="0"/>
    <d v="2025-02-02T14:28:41"/>
    <d v="2025-02-02T14:28:41"/>
    <x v="1"/>
    <x v="4"/>
    <x v="0"/>
    <n v="14"/>
    <x v="1"/>
  </r>
  <r>
    <n v="3565"/>
    <s v="Malik Rodriguez"/>
    <x v="5"/>
    <x v="1"/>
    <n v="3"/>
    <n v="12.74"/>
    <s v="Mid-Range"/>
    <n v="7.6440000000000001"/>
    <n v="38.22"/>
    <n v="30.576000000000001"/>
    <n v="0.8"/>
    <x v="0"/>
    <d v="2025-02-03T00:32:15"/>
    <d v="2025-02-03T00:32:15"/>
    <x v="1"/>
    <x v="6"/>
    <x v="0"/>
    <n v="0"/>
    <x v="0"/>
  </r>
  <r>
    <n v="8360"/>
    <s v="Michael Skinner"/>
    <x v="5"/>
    <x v="1"/>
    <n v="4"/>
    <n v="19.7"/>
    <s v="Mid-Range"/>
    <n v="11.819999999999999"/>
    <n v="78.8"/>
    <n v="66.98"/>
    <n v="0.85000000000000009"/>
    <x v="2"/>
    <d v="2025-02-03T00:37:12"/>
    <d v="2025-02-03T00:37:12"/>
    <x v="1"/>
    <x v="6"/>
    <x v="0"/>
    <n v="0"/>
    <x v="0"/>
  </r>
  <r>
    <n v="3402"/>
    <s v="Mrs. Kristi Myers"/>
    <x v="8"/>
    <x v="0"/>
    <n v="2"/>
    <n v="21.07"/>
    <s v="Premium"/>
    <n v="12.641999999999999"/>
    <n v="42.14"/>
    <n v="29.498000000000001"/>
    <n v="0.70000000000000007"/>
    <x v="0"/>
    <d v="2025-02-04T08:47:41"/>
    <d v="2025-02-04T08:47:41"/>
    <x v="1"/>
    <x v="5"/>
    <x v="0"/>
    <n v="8"/>
    <x v="0"/>
  </r>
  <r>
    <n v="7716"/>
    <s v="Shannon Morales PhD"/>
    <x v="1"/>
    <x v="1"/>
    <n v="3"/>
    <n v="19.07"/>
    <s v="Mid-Range"/>
    <n v="11.442"/>
    <n v="57.21"/>
    <n v="45.768000000000001"/>
    <n v="0.8"/>
    <x v="1"/>
    <d v="2025-02-04T19:58:57"/>
    <d v="2025-02-04T19:58:57"/>
    <x v="1"/>
    <x v="5"/>
    <x v="0"/>
    <n v="19"/>
    <x v="2"/>
  </r>
  <r>
    <n v="5134"/>
    <s v="Michael Barton"/>
    <x v="4"/>
    <x v="1"/>
    <n v="1"/>
    <n v="20.73"/>
    <s v="Premium"/>
    <n v="12.438000000000001"/>
    <n v="20.73"/>
    <n v="8.2919999999999998"/>
    <n v="0.39999999999999997"/>
    <x v="1"/>
    <d v="2025-02-05T00:34:29"/>
    <d v="2025-02-05T00:34:29"/>
    <x v="1"/>
    <x v="0"/>
    <x v="0"/>
    <n v="0"/>
    <x v="0"/>
  </r>
  <r>
    <n v="2578"/>
    <s v="Brittany Watson"/>
    <x v="6"/>
    <x v="2"/>
    <n v="1"/>
    <n v="24.64"/>
    <s v="Premium"/>
    <n v="14.783999999999999"/>
    <n v="24.64"/>
    <n v="9.8560000000000016"/>
    <n v="0.40000000000000008"/>
    <x v="0"/>
    <d v="2025-02-05T00:37:28"/>
    <d v="2025-02-05T00:37:28"/>
    <x v="1"/>
    <x v="0"/>
    <x v="0"/>
    <n v="0"/>
    <x v="0"/>
  </r>
  <r>
    <n v="6672"/>
    <s v="Martin Estrada"/>
    <x v="5"/>
    <x v="1"/>
    <n v="1"/>
    <n v="8.92"/>
    <s v="Budget"/>
    <n v="5.3519999999999994"/>
    <n v="8.92"/>
    <n v="3.5680000000000005"/>
    <n v="0.40000000000000008"/>
    <x v="2"/>
    <d v="2025-02-05T01:29:55"/>
    <d v="2025-02-05T01:29:55"/>
    <x v="1"/>
    <x v="0"/>
    <x v="0"/>
    <n v="1"/>
    <x v="0"/>
  </r>
  <r>
    <n v="2682"/>
    <s v="Elizabeth Smith"/>
    <x v="7"/>
    <x v="0"/>
    <n v="2"/>
    <n v="2.64"/>
    <s v="Budget"/>
    <n v="1.5840000000000001"/>
    <n v="5.28"/>
    <n v="3.6960000000000002"/>
    <n v="0.7"/>
    <x v="1"/>
    <d v="2025-02-05T17:47:23"/>
    <d v="2025-02-05T17:47:23"/>
    <x v="1"/>
    <x v="0"/>
    <x v="0"/>
    <n v="17"/>
    <x v="1"/>
  </r>
  <r>
    <n v="9963"/>
    <s v="Jonathan Turner"/>
    <x v="8"/>
    <x v="0"/>
    <n v="4"/>
    <n v="3.07"/>
    <s v="Budget"/>
    <n v="1.8419999999999999"/>
    <n v="12.28"/>
    <n v="10.437999999999999"/>
    <n v="0.85"/>
    <x v="2"/>
    <d v="2025-02-05T21:59:57"/>
    <d v="2025-02-05T21:59:57"/>
    <x v="1"/>
    <x v="0"/>
    <x v="0"/>
    <n v="21"/>
    <x v="2"/>
  </r>
  <r>
    <n v="5481"/>
    <s v="David Hamilton"/>
    <x v="8"/>
    <x v="0"/>
    <n v="3"/>
    <n v="18.739999999999998"/>
    <s v="Mid-Range"/>
    <n v="11.243999999999998"/>
    <n v="56.22"/>
    <n v="44.975999999999999"/>
    <n v="0.8"/>
    <x v="1"/>
    <d v="2025-02-05T23:19:00"/>
    <d v="2025-02-05T23:19:00"/>
    <x v="1"/>
    <x v="0"/>
    <x v="0"/>
    <n v="23"/>
    <x v="2"/>
  </r>
  <r>
    <n v="5594"/>
    <s v="Raymond Cooper"/>
    <x v="1"/>
    <x v="1"/>
    <n v="5"/>
    <n v="16.809999999999999"/>
    <s v="Mid-Range"/>
    <n v="10.085999999999999"/>
    <n v="84.05"/>
    <n v="73.963999999999999"/>
    <n v="0.88"/>
    <x v="1"/>
    <d v="2025-02-06T00:27:13"/>
    <d v="2025-02-06T00:27:13"/>
    <x v="1"/>
    <x v="1"/>
    <x v="0"/>
    <n v="0"/>
    <x v="0"/>
  </r>
  <r>
    <n v="5816"/>
    <s v="Monique Camacho"/>
    <x v="2"/>
    <x v="2"/>
    <n v="2"/>
    <n v="4.4000000000000004"/>
    <s v="Budget"/>
    <n v="2.64"/>
    <n v="8.8000000000000007"/>
    <n v="6.16"/>
    <n v="0.7"/>
    <x v="2"/>
    <d v="2025-02-07T22:54:18"/>
    <d v="2025-02-07T22:54:18"/>
    <x v="1"/>
    <x v="2"/>
    <x v="1"/>
    <n v="22"/>
    <x v="2"/>
  </r>
  <r>
    <n v="3834"/>
    <s v="Veronica Bray"/>
    <x v="2"/>
    <x v="2"/>
    <n v="3"/>
    <n v="7.91"/>
    <s v="Budget"/>
    <n v="4.7459999999999996"/>
    <n v="23.73"/>
    <n v="18.984000000000002"/>
    <n v="0.8"/>
    <x v="0"/>
    <d v="2025-02-08T04:06:24"/>
    <d v="2025-02-08T04:06:24"/>
    <x v="1"/>
    <x v="3"/>
    <x v="1"/>
    <n v="4"/>
    <x v="0"/>
  </r>
  <r>
    <n v="5577"/>
    <s v="Christina Castro"/>
    <x v="8"/>
    <x v="0"/>
    <n v="2"/>
    <n v="23.6"/>
    <s v="Premium"/>
    <n v="14.16"/>
    <n v="47.2"/>
    <n v="33.040000000000006"/>
    <n v="0.70000000000000007"/>
    <x v="0"/>
    <d v="2025-02-08T12:12:53"/>
    <d v="2025-02-08T12:12:53"/>
    <x v="1"/>
    <x v="3"/>
    <x v="1"/>
    <n v="12"/>
    <x v="1"/>
  </r>
  <r>
    <n v="8740"/>
    <s v="Ashley Wilson"/>
    <x v="4"/>
    <x v="1"/>
    <n v="5"/>
    <n v="12.26"/>
    <s v="Mid-Range"/>
    <n v="7.3559999999999999"/>
    <n v="61.3"/>
    <n v="53.943999999999996"/>
    <n v="0.88"/>
    <x v="3"/>
    <d v="2025-02-09T21:00:45"/>
    <d v="2025-02-09T21:00:45"/>
    <x v="1"/>
    <x v="4"/>
    <x v="0"/>
    <n v="21"/>
    <x v="2"/>
  </r>
  <r>
    <n v="4681"/>
    <s v="James Brown"/>
    <x v="2"/>
    <x v="2"/>
    <n v="3"/>
    <n v="8.73"/>
    <s v="Budget"/>
    <n v="5.2380000000000004"/>
    <n v="26.19"/>
    <n v="20.952000000000002"/>
    <n v="0.8"/>
    <x v="3"/>
    <d v="2025-02-09T23:48:12"/>
    <d v="2025-02-09T23:48:12"/>
    <x v="1"/>
    <x v="4"/>
    <x v="0"/>
    <n v="23"/>
    <x v="2"/>
  </r>
  <r>
    <n v="7161"/>
    <s v="Daniel Fisher"/>
    <x v="5"/>
    <x v="1"/>
    <n v="4"/>
    <n v="22.68"/>
    <s v="Premium"/>
    <n v="13.607999999999999"/>
    <n v="90.72"/>
    <n v="77.111999999999995"/>
    <n v="0.85"/>
    <x v="1"/>
    <d v="2025-02-10T02:47:14"/>
    <d v="2025-02-10T02:47:14"/>
    <x v="1"/>
    <x v="6"/>
    <x v="0"/>
    <n v="2"/>
    <x v="0"/>
  </r>
  <r>
    <n v="9130"/>
    <s v="Valerie Jones"/>
    <x v="2"/>
    <x v="2"/>
    <n v="4"/>
    <n v="18.670000000000002"/>
    <s v="Mid-Range"/>
    <n v="11.202"/>
    <n v="74.680000000000007"/>
    <n v="63.478000000000009"/>
    <n v="0.85000000000000009"/>
    <x v="1"/>
    <d v="2025-02-10T07:53:11"/>
    <d v="2025-02-10T07:53:11"/>
    <x v="1"/>
    <x v="6"/>
    <x v="0"/>
    <n v="7"/>
    <x v="0"/>
  </r>
  <r>
    <n v="2447"/>
    <s v="Jason Phillips"/>
    <x v="5"/>
    <x v="1"/>
    <n v="2"/>
    <n v="10.24"/>
    <s v="Mid-Range"/>
    <n v="6.1440000000000001"/>
    <n v="20.48"/>
    <n v="14.336"/>
    <n v="0.7"/>
    <x v="2"/>
    <d v="2025-02-10T13:04:34"/>
    <d v="2025-02-10T13:04:34"/>
    <x v="1"/>
    <x v="6"/>
    <x v="0"/>
    <n v="13"/>
    <x v="1"/>
  </r>
  <r>
    <n v="5946"/>
    <s v="Timothy Reeves"/>
    <x v="1"/>
    <x v="1"/>
    <n v="1"/>
    <n v="12.57"/>
    <s v="Mid-Range"/>
    <n v="7.5419999999999998"/>
    <n v="12.57"/>
    <n v="5.0280000000000005"/>
    <n v="0.4"/>
    <x v="3"/>
    <d v="2025-02-11T01:52:32"/>
    <d v="2025-02-11T01:52:32"/>
    <x v="1"/>
    <x v="5"/>
    <x v="0"/>
    <n v="1"/>
    <x v="0"/>
  </r>
  <r>
    <n v="2723"/>
    <s v="Tamara Wu"/>
    <x v="6"/>
    <x v="2"/>
    <n v="5"/>
    <n v="12.25"/>
    <s v="Mid-Range"/>
    <n v="7.35"/>
    <n v="61.25"/>
    <n v="53.9"/>
    <n v="0.88"/>
    <x v="1"/>
    <d v="2025-02-11T02:01:11"/>
    <d v="2025-02-11T02:01:11"/>
    <x v="1"/>
    <x v="5"/>
    <x v="0"/>
    <n v="2"/>
    <x v="0"/>
  </r>
  <r>
    <n v="6116"/>
    <s v="Andrew Suarez"/>
    <x v="0"/>
    <x v="0"/>
    <n v="5"/>
    <n v="4.95"/>
    <s v="Budget"/>
    <n v="2.97"/>
    <n v="24.75"/>
    <n v="21.78"/>
    <n v="0.88"/>
    <x v="1"/>
    <d v="2025-02-11T02:48:19"/>
    <d v="2025-02-11T02:48:19"/>
    <x v="1"/>
    <x v="5"/>
    <x v="0"/>
    <n v="2"/>
    <x v="0"/>
  </r>
  <r>
    <n v="7705"/>
    <s v="Richard Garcia"/>
    <x v="0"/>
    <x v="0"/>
    <n v="5"/>
    <n v="12.3"/>
    <s v="Mid-Range"/>
    <n v="7.38"/>
    <n v="61.5"/>
    <n v="54.12"/>
    <n v="0.88"/>
    <x v="1"/>
    <d v="2025-02-11T03:19:15"/>
    <d v="2025-02-11T03:19:15"/>
    <x v="1"/>
    <x v="5"/>
    <x v="0"/>
    <n v="3"/>
    <x v="0"/>
  </r>
  <r>
    <n v="4233"/>
    <s v="Catherine Lucero"/>
    <x v="7"/>
    <x v="0"/>
    <n v="3"/>
    <n v="7.71"/>
    <s v="Budget"/>
    <n v="4.6259999999999994"/>
    <n v="23.13"/>
    <n v="18.503999999999998"/>
    <n v="0.79999999999999993"/>
    <x v="2"/>
    <d v="2025-02-11T20:50:07"/>
    <d v="2025-02-11T20:50:07"/>
    <x v="1"/>
    <x v="5"/>
    <x v="0"/>
    <n v="20"/>
    <x v="2"/>
  </r>
  <r>
    <n v="2535"/>
    <s v="Patrick Hanna"/>
    <x v="8"/>
    <x v="0"/>
    <n v="2"/>
    <n v="4.9000000000000004"/>
    <s v="Budget"/>
    <n v="2.94"/>
    <n v="9.8000000000000007"/>
    <n v="6.8600000000000012"/>
    <n v="0.70000000000000007"/>
    <x v="1"/>
    <d v="2025-02-12T05:00:14"/>
    <d v="2025-02-12T05:00:14"/>
    <x v="1"/>
    <x v="0"/>
    <x v="0"/>
    <n v="5"/>
    <x v="0"/>
  </r>
  <r>
    <n v="1868"/>
    <s v="Joseph Butler"/>
    <x v="7"/>
    <x v="0"/>
    <n v="4"/>
    <n v="11.07"/>
    <s v="Mid-Range"/>
    <n v="6.6420000000000003"/>
    <n v="44.28"/>
    <n v="37.637999999999998"/>
    <n v="0.85"/>
    <x v="3"/>
    <d v="2025-02-12T06:26:46"/>
    <d v="2025-02-12T06:26:46"/>
    <x v="1"/>
    <x v="0"/>
    <x v="0"/>
    <n v="6"/>
    <x v="0"/>
  </r>
  <r>
    <n v="8676"/>
    <s v="Melissa Garcia"/>
    <x v="0"/>
    <x v="0"/>
    <n v="3"/>
    <n v="11.5"/>
    <s v="Mid-Range"/>
    <n v="6.8999999999999995"/>
    <n v="34.5"/>
    <n v="27.6"/>
    <n v="0.8"/>
    <x v="2"/>
    <d v="2025-02-12T14:06:53"/>
    <d v="2025-02-12T14:06:53"/>
    <x v="1"/>
    <x v="0"/>
    <x v="0"/>
    <n v="14"/>
    <x v="1"/>
  </r>
  <r>
    <n v="5227"/>
    <s v="James Butler"/>
    <x v="6"/>
    <x v="2"/>
    <n v="4"/>
    <n v="13.64"/>
    <s v="Mid-Range"/>
    <n v="8.1839999999999993"/>
    <n v="54.56"/>
    <n v="46.376000000000005"/>
    <n v="0.85000000000000009"/>
    <x v="1"/>
    <d v="2025-02-12T18:13:14"/>
    <d v="2025-02-12T18:13:14"/>
    <x v="1"/>
    <x v="0"/>
    <x v="0"/>
    <n v="18"/>
    <x v="2"/>
  </r>
  <r>
    <n v="9207"/>
    <s v="Joseph Kelley"/>
    <x v="5"/>
    <x v="1"/>
    <n v="4"/>
    <n v="13.24"/>
    <s v="Mid-Range"/>
    <n v="7.944"/>
    <n v="52.96"/>
    <n v="45.015999999999998"/>
    <n v="0.85"/>
    <x v="0"/>
    <d v="2025-02-13T01:16:21"/>
    <d v="2025-02-13T01:16:21"/>
    <x v="1"/>
    <x v="1"/>
    <x v="0"/>
    <n v="1"/>
    <x v="0"/>
  </r>
  <r>
    <n v="6776"/>
    <s v="Yvonne Davis"/>
    <x v="6"/>
    <x v="2"/>
    <n v="5"/>
    <n v="22.33"/>
    <s v="Premium"/>
    <n v="13.397999999999998"/>
    <n v="111.64999999999999"/>
    <n v="98.251999999999995"/>
    <n v="0.88"/>
    <x v="1"/>
    <d v="2025-02-13T17:44:33"/>
    <d v="2025-02-13T17:44:33"/>
    <x v="1"/>
    <x v="1"/>
    <x v="0"/>
    <n v="17"/>
    <x v="1"/>
  </r>
  <r>
    <n v="7969"/>
    <s v="Victoria Sims"/>
    <x v="0"/>
    <x v="0"/>
    <n v="4"/>
    <n v="13.99"/>
    <s v="Mid-Range"/>
    <n v="8.3940000000000001"/>
    <n v="55.96"/>
    <n v="47.566000000000003"/>
    <n v="0.85"/>
    <x v="3"/>
    <d v="2025-02-14T04:48:09"/>
    <d v="2025-02-14T04:48:09"/>
    <x v="1"/>
    <x v="2"/>
    <x v="1"/>
    <n v="4"/>
    <x v="0"/>
  </r>
  <r>
    <n v="4937"/>
    <s v="Caleb Little"/>
    <x v="4"/>
    <x v="1"/>
    <n v="5"/>
    <n v="16.07"/>
    <s v="Mid-Range"/>
    <n v="9.6419999999999995"/>
    <n v="80.349999999999994"/>
    <n v="70.707999999999998"/>
    <n v="0.88"/>
    <x v="3"/>
    <d v="2025-02-15T00:38:57"/>
    <d v="2025-02-15T00:38:57"/>
    <x v="1"/>
    <x v="3"/>
    <x v="1"/>
    <n v="0"/>
    <x v="0"/>
  </r>
  <r>
    <n v="2233"/>
    <s v="Victoria Ramirez"/>
    <x v="4"/>
    <x v="1"/>
    <n v="3"/>
    <n v="17.260000000000002"/>
    <s v="Mid-Range"/>
    <n v="10.356"/>
    <n v="51.78"/>
    <n v="41.423999999999999"/>
    <n v="0.79999999999999993"/>
    <x v="0"/>
    <d v="2025-02-15T15:17:17"/>
    <d v="2025-02-15T15:17:17"/>
    <x v="1"/>
    <x v="3"/>
    <x v="1"/>
    <n v="15"/>
    <x v="1"/>
  </r>
  <r>
    <n v="3162"/>
    <s v="Kelly Huang"/>
    <x v="3"/>
    <x v="2"/>
    <n v="5"/>
    <n v="21.15"/>
    <s v="Premium"/>
    <n v="12.69"/>
    <n v="105.75"/>
    <n v="93.06"/>
    <n v="0.88"/>
    <x v="3"/>
    <d v="2025-02-15T17:55:56"/>
    <d v="2025-02-15T17:55:56"/>
    <x v="1"/>
    <x v="3"/>
    <x v="1"/>
    <n v="17"/>
    <x v="1"/>
  </r>
  <r>
    <n v="2443"/>
    <s v="Charles Johnson"/>
    <x v="7"/>
    <x v="0"/>
    <n v="1"/>
    <n v="5.37"/>
    <s v="Budget"/>
    <n v="3.222"/>
    <n v="5.37"/>
    <n v="2.1480000000000001"/>
    <n v="0.4"/>
    <x v="3"/>
    <d v="2025-02-15T22:47:05"/>
    <d v="2025-02-15T22:47:05"/>
    <x v="1"/>
    <x v="3"/>
    <x v="1"/>
    <n v="22"/>
    <x v="2"/>
  </r>
  <r>
    <n v="6080"/>
    <s v="Elizabeth Farley"/>
    <x v="4"/>
    <x v="1"/>
    <n v="5"/>
    <n v="20.81"/>
    <s v="Premium"/>
    <n v="12.485999999999999"/>
    <n v="104.05"/>
    <n v="91.563999999999993"/>
    <n v="0.88"/>
    <x v="2"/>
    <d v="2025-02-17T09:39:24"/>
    <d v="2025-02-17T09:39:24"/>
    <x v="1"/>
    <x v="6"/>
    <x v="0"/>
    <n v="9"/>
    <x v="0"/>
  </r>
  <r>
    <n v="5293"/>
    <s v="John Fisher"/>
    <x v="7"/>
    <x v="0"/>
    <n v="3"/>
    <n v="19.29"/>
    <s v="Mid-Range"/>
    <n v="11.574"/>
    <n v="57.87"/>
    <n v="46.295999999999999"/>
    <n v="0.8"/>
    <x v="3"/>
    <d v="2025-02-18T08:39:15"/>
    <d v="2025-02-18T08:39:15"/>
    <x v="1"/>
    <x v="5"/>
    <x v="0"/>
    <n v="8"/>
    <x v="0"/>
  </r>
  <r>
    <n v="7606"/>
    <s v="Kathleen Miranda"/>
    <x v="7"/>
    <x v="0"/>
    <n v="3"/>
    <n v="19.670000000000002"/>
    <s v="Mid-Range"/>
    <n v="11.802000000000001"/>
    <n v="59.010000000000005"/>
    <n v="47.208000000000006"/>
    <n v="0.8"/>
    <x v="2"/>
    <d v="2025-02-18T20:11:08"/>
    <d v="2025-02-18T20:11:08"/>
    <x v="1"/>
    <x v="5"/>
    <x v="0"/>
    <n v="20"/>
    <x v="2"/>
  </r>
  <r>
    <n v="5467"/>
    <s v="Curtis Brown"/>
    <x v="2"/>
    <x v="2"/>
    <n v="2"/>
    <n v="6.3"/>
    <s v="Budget"/>
    <n v="3.78"/>
    <n v="12.6"/>
    <n v="8.82"/>
    <n v="0.70000000000000007"/>
    <x v="2"/>
    <d v="2025-02-19T13:31:22"/>
    <d v="2025-02-19T13:31:22"/>
    <x v="1"/>
    <x v="0"/>
    <x v="0"/>
    <n v="13"/>
    <x v="1"/>
  </r>
  <r>
    <n v="9428"/>
    <s v="Christina Donovan"/>
    <x v="3"/>
    <x v="2"/>
    <n v="5"/>
    <n v="3.53"/>
    <s v="Budget"/>
    <n v="2.1179999999999999"/>
    <n v="17.649999999999999"/>
    <n v="15.531999999999998"/>
    <n v="0.88"/>
    <x v="2"/>
    <d v="2025-02-20T07:16:55"/>
    <d v="2025-02-20T07:16:55"/>
    <x v="1"/>
    <x v="1"/>
    <x v="0"/>
    <n v="7"/>
    <x v="0"/>
  </r>
  <r>
    <n v="3742"/>
    <s v="Angela Sherman"/>
    <x v="0"/>
    <x v="0"/>
    <n v="2"/>
    <n v="10.81"/>
    <s v="Mid-Range"/>
    <n v="6.4859999999999998"/>
    <n v="21.62"/>
    <n v="15.134"/>
    <n v="0.7"/>
    <x v="0"/>
    <d v="2025-02-20T09:20:17"/>
    <d v="2025-02-20T09:20:17"/>
    <x v="1"/>
    <x v="1"/>
    <x v="0"/>
    <n v="9"/>
    <x v="0"/>
  </r>
  <r>
    <n v="6823"/>
    <s v="Melinda Myers"/>
    <x v="4"/>
    <x v="1"/>
    <n v="4"/>
    <n v="10.8"/>
    <s v="Mid-Range"/>
    <n v="6.48"/>
    <n v="43.2"/>
    <n v="36.72"/>
    <n v="0.84999999999999987"/>
    <x v="3"/>
    <d v="2025-02-20T18:15:15"/>
    <d v="2025-02-20T18:15:15"/>
    <x v="1"/>
    <x v="1"/>
    <x v="0"/>
    <n v="18"/>
    <x v="2"/>
  </r>
  <r>
    <n v="6490"/>
    <s v="Deborah Green"/>
    <x v="7"/>
    <x v="0"/>
    <n v="5"/>
    <n v="4.09"/>
    <s v="Budget"/>
    <n v="2.4539999999999997"/>
    <n v="20.45"/>
    <n v="17.995999999999999"/>
    <n v="0.88"/>
    <x v="1"/>
    <d v="2025-02-21T02:59:16"/>
    <d v="2025-02-21T02:59:16"/>
    <x v="1"/>
    <x v="2"/>
    <x v="1"/>
    <n v="2"/>
    <x v="0"/>
  </r>
  <r>
    <n v="9586"/>
    <s v="Sarah Ponce"/>
    <x v="7"/>
    <x v="0"/>
    <n v="4"/>
    <n v="22.44"/>
    <s v="Premium"/>
    <n v="13.464"/>
    <n v="89.76"/>
    <n v="76.296000000000006"/>
    <n v="0.85"/>
    <x v="1"/>
    <d v="2025-02-21T09:55:21"/>
    <d v="2025-02-21T09:55:21"/>
    <x v="1"/>
    <x v="2"/>
    <x v="1"/>
    <n v="9"/>
    <x v="0"/>
  </r>
  <r>
    <n v="1909"/>
    <s v="Jonathan Smith"/>
    <x v="6"/>
    <x v="2"/>
    <n v="4"/>
    <n v="16.89"/>
    <s v="Mid-Range"/>
    <n v="10.134"/>
    <n v="67.56"/>
    <n v="57.426000000000002"/>
    <n v="0.85"/>
    <x v="3"/>
    <d v="2025-02-21T23:08:41"/>
    <d v="2025-02-21T23:08:41"/>
    <x v="1"/>
    <x v="2"/>
    <x v="1"/>
    <n v="23"/>
    <x v="2"/>
  </r>
  <r>
    <n v="9936"/>
    <s v="Debbie Castillo"/>
    <x v="3"/>
    <x v="2"/>
    <n v="2"/>
    <n v="15.76"/>
    <s v="Mid-Range"/>
    <n v="9.4559999999999995"/>
    <n v="31.52"/>
    <n v="22.064"/>
    <n v="0.70000000000000007"/>
    <x v="3"/>
    <d v="2025-02-24T01:19:37"/>
    <d v="2025-02-24T01:19:37"/>
    <x v="1"/>
    <x v="6"/>
    <x v="0"/>
    <n v="1"/>
    <x v="0"/>
  </r>
  <r>
    <n v="6498"/>
    <s v="Connie Roberts"/>
    <x v="6"/>
    <x v="2"/>
    <n v="2"/>
    <n v="9.8699999999999992"/>
    <s v="Budget"/>
    <n v="5.9219999999999997"/>
    <n v="19.739999999999998"/>
    <n v="13.817999999999998"/>
    <n v="0.7"/>
    <x v="0"/>
    <d v="2025-02-25T11:41:54"/>
    <d v="2025-02-25T11:41:54"/>
    <x v="1"/>
    <x v="5"/>
    <x v="0"/>
    <n v="11"/>
    <x v="0"/>
  </r>
  <r>
    <n v="4472"/>
    <s v="David Barrett"/>
    <x v="5"/>
    <x v="1"/>
    <n v="1"/>
    <n v="24.96"/>
    <s v="Premium"/>
    <n v="14.975999999999999"/>
    <n v="24.96"/>
    <n v="9.9840000000000018"/>
    <n v="0.40000000000000008"/>
    <x v="0"/>
    <d v="2025-02-25T15:40:01"/>
    <d v="2025-02-25T15:40:01"/>
    <x v="1"/>
    <x v="5"/>
    <x v="0"/>
    <n v="15"/>
    <x v="1"/>
  </r>
  <r>
    <n v="5547"/>
    <s v="Carmen Gonzalez"/>
    <x v="3"/>
    <x v="2"/>
    <n v="1"/>
    <n v="20.57"/>
    <s v="Premium"/>
    <n v="12.342000000000001"/>
    <n v="20.57"/>
    <n v="8.2279999999999998"/>
    <n v="0.39999999999999997"/>
    <x v="2"/>
    <d v="2025-02-26T19:03:23"/>
    <d v="2025-02-26T19:03:23"/>
    <x v="1"/>
    <x v="0"/>
    <x v="0"/>
    <n v="19"/>
    <x v="2"/>
  </r>
  <r>
    <n v="4144"/>
    <s v="Denise Murphy"/>
    <x v="2"/>
    <x v="2"/>
    <n v="2"/>
    <n v="3.8"/>
    <s v="Budget"/>
    <n v="2.2799999999999998"/>
    <n v="7.6"/>
    <n v="5.32"/>
    <n v="0.70000000000000007"/>
    <x v="0"/>
    <d v="2025-02-26T20:30:07"/>
    <d v="2025-02-26T20:30:07"/>
    <x v="1"/>
    <x v="0"/>
    <x v="0"/>
    <n v="20"/>
    <x v="2"/>
  </r>
  <r>
    <n v="7194"/>
    <s v="Christina Adams"/>
    <x v="8"/>
    <x v="0"/>
    <n v="5"/>
    <n v="18.18"/>
    <s v="Mid-Range"/>
    <n v="10.907999999999999"/>
    <n v="90.9"/>
    <n v="79.992000000000004"/>
    <n v="0.88"/>
    <x v="0"/>
    <d v="2025-02-27T13:51:15"/>
    <d v="2025-02-27T13:51:15"/>
    <x v="1"/>
    <x v="1"/>
    <x v="0"/>
    <n v="13"/>
    <x v="1"/>
  </r>
  <r>
    <n v="2279"/>
    <s v="Kristy Nash"/>
    <x v="7"/>
    <x v="0"/>
    <n v="3"/>
    <n v="14.58"/>
    <s v="Mid-Range"/>
    <n v="8.7479999999999993"/>
    <n v="43.74"/>
    <n v="34.992000000000004"/>
    <n v="0.8"/>
    <x v="3"/>
    <d v="2025-02-27T17:15:58"/>
    <d v="2025-02-27T17:15:58"/>
    <x v="1"/>
    <x v="1"/>
    <x v="0"/>
    <n v="17"/>
    <x v="1"/>
  </r>
  <r>
    <n v="3244"/>
    <s v="Joe Barton"/>
    <x v="0"/>
    <x v="0"/>
    <n v="5"/>
    <n v="2.35"/>
    <s v="Budget"/>
    <n v="1.41"/>
    <n v="11.75"/>
    <n v="10.34"/>
    <n v="0.88"/>
    <x v="3"/>
    <d v="2025-02-28T14:37:14"/>
    <d v="2025-02-28T14:37:14"/>
    <x v="1"/>
    <x v="2"/>
    <x v="1"/>
    <n v="14"/>
    <x v="1"/>
  </r>
  <r>
    <n v="5707"/>
    <s v="Jeffrey Ortiz"/>
    <x v="5"/>
    <x v="1"/>
    <n v="5"/>
    <n v="12.33"/>
    <s v="Mid-Range"/>
    <n v="7.3979999999999997"/>
    <n v="61.65"/>
    <n v="54.251999999999995"/>
    <n v="0.87999999999999989"/>
    <x v="2"/>
    <d v="2025-03-01T18:55:59"/>
    <d v="2025-03-01T18:55:59"/>
    <x v="2"/>
    <x v="3"/>
    <x v="1"/>
    <n v="18"/>
    <x v="2"/>
  </r>
  <r>
    <n v="2227"/>
    <s v="Melissa Curry"/>
    <x v="5"/>
    <x v="1"/>
    <n v="1"/>
    <n v="11.66"/>
    <s v="Mid-Range"/>
    <n v="6.9959999999999996"/>
    <n v="11.66"/>
    <n v="4.6640000000000006"/>
    <n v="0.4"/>
    <x v="1"/>
    <d v="2025-03-01T22:30:33"/>
    <d v="2025-03-01T22:30:33"/>
    <x v="2"/>
    <x v="3"/>
    <x v="1"/>
    <n v="22"/>
    <x v="2"/>
  </r>
  <r>
    <n v="1312"/>
    <s v="Douglas Bryant"/>
    <x v="0"/>
    <x v="0"/>
    <n v="3"/>
    <n v="16.3"/>
    <s v="Mid-Range"/>
    <n v="9.7799999999999994"/>
    <n v="48.900000000000006"/>
    <n v="39.120000000000005"/>
    <n v="0.8"/>
    <x v="1"/>
    <d v="2025-03-01T23:54:53"/>
    <d v="2025-03-01T23:54:53"/>
    <x v="2"/>
    <x v="3"/>
    <x v="1"/>
    <n v="23"/>
    <x v="2"/>
  </r>
  <r>
    <n v="2365"/>
    <s v="John Garcia"/>
    <x v="4"/>
    <x v="1"/>
    <n v="4"/>
    <n v="16.170000000000002"/>
    <s v="Mid-Range"/>
    <n v="9.702"/>
    <n v="64.680000000000007"/>
    <n v="54.978000000000009"/>
    <n v="0.85000000000000009"/>
    <x v="3"/>
    <d v="2025-03-02T06:13:44"/>
    <d v="2025-03-02T06:13:44"/>
    <x v="2"/>
    <x v="4"/>
    <x v="0"/>
    <n v="6"/>
    <x v="0"/>
  </r>
  <r>
    <n v="6828"/>
    <s v="Jason King"/>
    <x v="3"/>
    <x v="2"/>
    <n v="4"/>
    <n v="7.64"/>
    <s v="Budget"/>
    <n v="4.5839999999999996"/>
    <n v="30.56"/>
    <n v="25.975999999999999"/>
    <n v="0.85"/>
    <x v="0"/>
    <d v="2025-03-02T10:16:01"/>
    <d v="2025-03-02T10:16:01"/>
    <x v="2"/>
    <x v="4"/>
    <x v="0"/>
    <n v="10"/>
    <x v="0"/>
  </r>
  <r>
    <n v="6807"/>
    <s v="Jose Kane"/>
    <x v="2"/>
    <x v="2"/>
    <n v="4"/>
    <n v="3.6"/>
    <s v="Budget"/>
    <n v="2.16"/>
    <n v="14.4"/>
    <n v="12.24"/>
    <n v="0.85"/>
    <x v="3"/>
    <d v="2025-03-02T16:09:22"/>
    <d v="2025-03-02T16:09:22"/>
    <x v="2"/>
    <x v="4"/>
    <x v="0"/>
    <n v="16"/>
    <x v="1"/>
  </r>
  <r>
    <n v="3800"/>
    <s v="Christopher Rodriguez"/>
    <x v="1"/>
    <x v="1"/>
    <n v="1"/>
    <n v="13.78"/>
    <s v="Mid-Range"/>
    <n v="8.2679999999999989"/>
    <n v="13.78"/>
    <n v="5.5120000000000005"/>
    <n v="0.40000000000000008"/>
    <x v="2"/>
    <d v="2025-03-02T18:17:17"/>
    <d v="2025-03-02T18:17:17"/>
    <x v="2"/>
    <x v="4"/>
    <x v="0"/>
    <n v="18"/>
    <x v="2"/>
  </r>
  <r>
    <n v="9839"/>
    <s v="Carl Olson"/>
    <x v="3"/>
    <x v="2"/>
    <n v="4"/>
    <n v="6.1"/>
    <s v="Budget"/>
    <n v="3.6599999999999997"/>
    <n v="24.4"/>
    <n v="20.74"/>
    <n v="0.85"/>
    <x v="2"/>
    <d v="2025-03-03T02:35:23"/>
    <d v="2025-03-03T02:35:23"/>
    <x v="2"/>
    <x v="6"/>
    <x v="0"/>
    <n v="2"/>
    <x v="0"/>
  </r>
  <r>
    <n v="8460"/>
    <s v="Christopher Dunlap"/>
    <x v="6"/>
    <x v="2"/>
    <n v="5"/>
    <n v="24.88"/>
    <s v="Premium"/>
    <n v="14.927999999999999"/>
    <n v="124.39999999999999"/>
    <n v="109.47199999999999"/>
    <n v="0.88"/>
    <x v="1"/>
    <d v="2025-03-03T08:36:07"/>
    <d v="2025-03-03T08:36:07"/>
    <x v="2"/>
    <x v="6"/>
    <x v="0"/>
    <n v="8"/>
    <x v="0"/>
  </r>
  <r>
    <n v="4195"/>
    <s v="Brian Smith"/>
    <x v="5"/>
    <x v="1"/>
    <n v="1"/>
    <n v="21.71"/>
    <s v="Premium"/>
    <n v="13.026"/>
    <n v="21.71"/>
    <n v="8.6840000000000011"/>
    <n v="0.4"/>
    <x v="2"/>
    <d v="2025-03-03T22:26:19"/>
    <d v="2025-03-03T22:26:19"/>
    <x v="2"/>
    <x v="6"/>
    <x v="0"/>
    <n v="22"/>
    <x v="2"/>
  </r>
  <r>
    <n v="3160"/>
    <s v="Margaret Wells"/>
    <x v="8"/>
    <x v="0"/>
    <n v="1"/>
    <n v="3.37"/>
    <s v="Budget"/>
    <n v="2.0219999999999998"/>
    <n v="3.37"/>
    <n v="1.3480000000000003"/>
    <n v="0.40000000000000008"/>
    <x v="3"/>
    <d v="2025-03-04T07:41:41"/>
    <d v="2025-03-04T07:41:41"/>
    <x v="2"/>
    <x v="5"/>
    <x v="0"/>
    <n v="7"/>
    <x v="0"/>
  </r>
  <r>
    <n v="6212"/>
    <s v="Stephen Campbell"/>
    <x v="0"/>
    <x v="0"/>
    <n v="1"/>
    <n v="18.239999999999998"/>
    <s v="Mid-Range"/>
    <n v="10.943999999999999"/>
    <n v="18.239999999999998"/>
    <n v="7.2959999999999994"/>
    <n v="0.4"/>
    <x v="0"/>
    <d v="2025-03-05T00:09:42"/>
    <d v="2025-03-05T00:09:42"/>
    <x v="2"/>
    <x v="0"/>
    <x v="0"/>
    <n v="0"/>
    <x v="0"/>
  </r>
  <r>
    <n v="3639"/>
    <s v="Billy Wade"/>
    <x v="1"/>
    <x v="1"/>
    <n v="1"/>
    <n v="9.6999999999999993"/>
    <s v="Budget"/>
    <n v="5.8199999999999994"/>
    <n v="9.6999999999999993"/>
    <n v="3.88"/>
    <n v="0.4"/>
    <x v="0"/>
    <d v="2025-03-05T06:04:09"/>
    <d v="2025-03-05T06:04:09"/>
    <x v="2"/>
    <x v="0"/>
    <x v="0"/>
    <n v="6"/>
    <x v="0"/>
  </r>
  <r>
    <n v="4250"/>
    <s v="Amber Gomez"/>
    <x v="5"/>
    <x v="1"/>
    <n v="2"/>
    <n v="2.62"/>
    <s v="Budget"/>
    <n v="1.5720000000000001"/>
    <n v="5.24"/>
    <n v="3.6680000000000001"/>
    <n v="0.7"/>
    <x v="3"/>
    <d v="2025-03-05T10:31:03"/>
    <d v="2025-03-05T10:31:03"/>
    <x v="2"/>
    <x v="0"/>
    <x v="0"/>
    <n v="10"/>
    <x v="0"/>
  </r>
  <r>
    <n v="3912"/>
    <s v="Wesley Walters"/>
    <x v="8"/>
    <x v="0"/>
    <n v="3"/>
    <n v="4.5"/>
    <s v="Budget"/>
    <n v="2.6999999999999997"/>
    <n v="13.5"/>
    <n v="10.8"/>
    <n v="0.8"/>
    <x v="2"/>
    <d v="2025-03-05T10:53:11"/>
    <d v="2025-03-05T10:53:11"/>
    <x v="2"/>
    <x v="0"/>
    <x v="0"/>
    <n v="10"/>
    <x v="0"/>
  </r>
  <r>
    <n v="8483"/>
    <s v="Ethan Combs"/>
    <x v="1"/>
    <x v="1"/>
    <n v="4"/>
    <n v="16.21"/>
    <s v="Mid-Range"/>
    <n v="9.7260000000000009"/>
    <n v="64.84"/>
    <n v="55.114000000000004"/>
    <n v="0.85"/>
    <x v="1"/>
    <d v="2025-03-05T20:27:56"/>
    <d v="2025-03-05T20:27:56"/>
    <x v="2"/>
    <x v="0"/>
    <x v="0"/>
    <n v="20"/>
    <x v="2"/>
  </r>
  <r>
    <n v="2035"/>
    <s v="James Morgan"/>
    <x v="8"/>
    <x v="0"/>
    <n v="5"/>
    <n v="12.83"/>
    <s v="Mid-Range"/>
    <n v="7.6979999999999995"/>
    <n v="64.150000000000006"/>
    <n v="56.452000000000005"/>
    <n v="0.88"/>
    <x v="3"/>
    <d v="2025-03-06T03:34:16"/>
    <d v="2025-03-06T03:34:16"/>
    <x v="2"/>
    <x v="1"/>
    <x v="0"/>
    <n v="3"/>
    <x v="0"/>
  </r>
  <r>
    <n v="6759"/>
    <s v="Nicole Collins"/>
    <x v="7"/>
    <x v="0"/>
    <n v="3"/>
    <n v="20.29"/>
    <s v="Premium"/>
    <n v="12.173999999999999"/>
    <n v="60.87"/>
    <n v="48.695999999999998"/>
    <n v="0.8"/>
    <x v="0"/>
    <d v="2025-03-06T17:30:51"/>
    <d v="2025-03-06T17:30:51"/>
    <x v="2"/>
    <x v="1"/>
    <x v="0"/>
    <n v="17"/>
    <x v="1"/>
  </r>
  <r>
    <n v="6404"/>
    <s v="William Williams"/>
    <x v="5"/>
    <x v="1"/>
    <n v="5"/>
    <n v="16.54"/>
    <s v="Mid-Range"/>
    <n v="9.9239999999999995"/>
    <n v="82.699999999999989"/>
    <n v="72.775999999999982"/>
    <n v="0.87999999999999989"/>
    <x v="0"/>
    <d v="2025-03-06T19:30:38"/>
    <d v="2025-03-06T19:30:38"/>
    <x v="2"/>
    <x v="1"/>
    <x v="0"/>
    <n v="19"/>
    <x v="2"/>
  </r>
  <r>
    <n v="2342"/>
    <s v="Shawn Gonzalez"/>
    <x v="8"/>
    <x v="0"/>
    <n v="4"/>
    <n v="18.54"/>
    <s v="Mid-Range"/>
    <n v="11.123999999999999"/>
    <n v="74.16"/>
    <n v="63.036000000000001"/>
    <n v="0.85000000000000009"/>
    <x v="2"/>
    <d v="2025-03-07T13:59:50"/>
    <d v="2025-03-07T13:59:50"/>
    <x v="2"/>
    <x v="2"/>
    <x v="1"/>
    <n v="13"/>
    <x v="1"/>
  </r>
  <r>
    <n v="6279"/>
    <s v="Scott Petty"/>
    <x v="5"/>
    <x v="1"/>
    <n v="1"/>
    <n v="23.87"/>
    <s v="Premium"/>
    <n v="14.322000000000001"/>
    <n v="23.87"/>
    <n v="9.548"/>
    <n v="0.39999999999999997"/>
    <x v="3"/>
    <d v="2025-03-08T17:02:44"/>
    <d v="2025-03-08T17:02:44"/>
    <x v="2"/>
    <x v="3"/>
    <x v="1"/>
    <n v="17"/>
    <x v="1"/>
  </r>
  <r>
    <n v="3609"/>
    <s v="Michael Gordon"/>
    <x v="3"/>
    <x v="2"/>
    <n v="2"/>
    <n v="15.5"/>
    <s v="Mid-Range"/>
    <n v="9.2999999999999989"/>
    <n v="31"/>
    <n v="21.700000000000003"/>
    <n v="0.70000000000000007"/>
    <x v="0"/>
    <d v="2025-03-08T23:54:03"/>
    <d v="2025-03-08T23:54:03"/>
    <x v="2"/>
    <x v="3"/>
    <x v="1"/>
    <n v="23"/>
    <x v="2"/>
  </r>
  <r>
    <n v="3308"/>
    <s v="Antonio Nielsen"/>
    <x v="7"/>
    <x v="0"/>
    <n v="4"/>
    <n v="8.66"/>
    <s v="Budget"/>
    <n v="5.1959999999999997"/>
    <n v="34.64"/>
    <n v="29.444000000000003"/>
    <n v="0.85000000000000009"/>
    <x v="0"/>
    <d v="2025-03-10T07:08:28"/>
    <d v="2025-03-10T07:08:28"/>
    <x v="2"/>
    <x v="6"/>
    <x v="0"/>
    <n v="7"/>
    <x v="0"/>
  </r>
  <r>
    <n v="3652"/>
    <s v="Aaron Clark"/>
    <x v="3"/>
    <x v="2"/>
    <n v="5"/>
    <n v="21.85"/>
    <s v="Premium"/>
    <n v="13.110000000000001"/>
    <n v="109.25"/>
    <n v="96.14"/>
    <n v="0.88"/>
    <x v="3"/>
    <d v="2025-03-10T07:36:28"/>
    <d v="2025-03-10T07:36:28"/>
    <x v="2"/>
    <x v="6"/>
    <x v="0"/>
    <n v="7"/>
    <x v="0"/>
  </r>
  <r>
    <n v="4389"/>
    <s v="Ashley Dominguez"/>
    <x v="2"/>
    <x v="2"/>
    <n v="3"/>
    <n v="24.74"/>
    <s v="Premium"/>
    <n v="14.843999999999998"/>
    <n v="74.22"/>
    <n v="59.376000000000005"/>
    <n v="0.8"/>
    <x v="2"/>
    <d v="2025-03-10T15:57:50"/>
    <d v="2025-03-10T15:57:50"/>
    <x v="2"/>
    <x v="6"/>
    <x v="0"/>
    <n v="15"/>
    <x v="1"/>
  </r>
  <r>
    <n v="7900"/>
    <s v="Evan Howard"/>
    <x v="7"/>
    <x v="0"/>
    <n v="4"/>
    <n v="3.61"/>
    <s v="Budget"/>
    <n v="2.1659999999999999"/>
    <n v="14.44"/>
    <n v="12.273999999999999"/>
    <n v="0.85"/>
    <x v="1"/>
    <d v="2025-03-11T12:11:32"/>
    <d v="2025-03-11T12:11:32"/>
    <x v="2"/>
    <x v="5"/>
    <x v="0"/>
    <n v="12"/>
    <x v="1"/>
  </r>
  <r>
    <n v="3007"/>
    <s v="Gavin Griffin"/>
    <x v="1"/>
    <x v="1"/>
    <n v="5"/>
    <n v="10.42"/>
    <s v="Mid-Range"/>
    <n v="6.2519999999999998"/>
    <n v="52.1"/>
    <n v="45.847999999999999"/>
    <n v="0.88"/>
    <x v="1"/>
    <d v="2025-03-11T15:50:55"/>
    <d v="2025-03-11T15:50:55"/>
    <x v="2"/>
    <x v="5"/>
    <x v="0"/>
    <n v="15"/>
    <x v="1"/>
  </r>
  <r>
    <n v="9566"/>
    <s v="Matthew Cooper"/>
    <x v="8"/>
    <x v="0"/>
    <n v="1"/>
    <n v="23.91"/>
    <s v="Premium"/>
    <n v="14.346"/>
    <n v="23.91"/>
    <n v="9.5640000000000001"/>
    <n v="0.4"/>
    <x v="2"/>
    <d v="2025-03-11T17:14:43"/>
    <d v="2025-03-11T17:14:43"/>
    <x v="2"/>
    <x v="5"/>
    <x v="0"/>
    <n v="17"/>
    <x v="1"/>
  </r>
  <r>
    <n v="2318"/>
    <s v="Christopher Scott"/>
    <x v="6"/>
    <x v="2"/>
    <n v="5"/>
    <n v="13.95"/>
    <s v="Mid-Range"/>
    <n v="8.3699999999999992"/>
    <n v="69.75"/>
    <n v="61.38"/>
    <n v="0.88"/>
    <x v="2"/>
    <d v="2025-03-12T07:38:41"/>
    <d v="2025-03-12T07:38:41"/>
    <x v="2"/>
    <x v="0"/>
    <x v="0"/>
    <n v="7"/>
    <x v="0"/>
  </r>
  <r>
    <n v="9325"/>
    <s v="Gregory Brown"/>
    <x v="1"/>
    <x v="1"/>
    <n v="4"/>
    <n v="19.48"/>
    <s v="Mid-Range"/>
    <n v="11.688000000000001"/>
    <n v="77.92"/>
    <n v="66.231999999999999"/>
    <n v="0.85"/>
    <x v="0"/>
    <d v="2025-03-12T08:06:31"/>
    <d v="2025-03-12T08:06:31"/>
    <x v="2"/>
    <x v="0"/>
    <x v="0"/>
    <n v="8"/>
    <x v="0"/>
  </r>
  <r>
    <n v="2894"/>
    <s v="Julie Watson DVM"/>
    <x v="1"/>
    <x v="1"/>
    <n v="2"/>
    <n v="18.21"/>
    <s v="Mid-Range"/>
    <n v="10.926"/>
    <n v="36.42"/>
    <n v="25.494"/>
    <n v="0.7"/>
    <x v="1"/>
    <d v="2025-03-12T13:32:49"/>
    <d v="2025-03-12T13:32:49"/>
    <x v="2"/>
    <x v="0"/>
    <x v="0"/>
    <n v="13"/>
    <x v="1"/>
  </r>
  <r>
    <n v="1402"/>
    <s v="Heather Russell"/>
    <x v="5"/>
    <x v="1"/>
    <n v="4"/>
    <n v="15.75"/>
    <s v="Mid-Range"/>
    <n v="9.4499999999999993"/>
    <n v="63"/>
    <n v="53.55"/>
    <n v="0.85"/>
    <x v="3"/>
    <d v="2025-03-12T14:07:38"/>
    <d v="2025-03-12T14:07:38"/>
    <x v="2"/>
    <x v="0"/>
    <x v="0"/>
    <n v="14"/>
    <x v="1"/>
  </r>
  <r>
    <n v="8482"/>
    <s v="Alexis Williams"/>
    <x v="4"/>
    <x v="1"/>
    <n v="1"/>
    <n v="17.95"/>
    <s v="Mid-Range"/>
    <n v="10.77"/>
    <n v="17.95"/>
    <n v="7.18"/>
    <n v="0.4"/>
    <x v="3"/>
    <d v="2025-03-14T04:14:22"/>
    <d v="2025-03-14T04:14:22"/>
    <x v="2"/>
    <x v="2"/>
    <x v="1"/>
    <n v="4"/>
    <x v="0"/>
  </r>
  <r>
    <n v="9739"/>
    <s v="Monica Richards"/>
    <x v="4"/>
    <x v="1"/>
    <n v="5"/>
    <n v="19.649999999999999"/>
    <s v="Mid-Range"/>
    <n v="11.79"/>
    <n v="98.25"/>
    <n v="86.460000000000008"/>
    <n v="0.88000000000000012"/>
    <x v="3"/>
    <d v="2025-03-14T05:55:57"/>
    <d v="2025-03-14T05:55:57"/>
    <x v="2"/>
    <x v="2"/>
    <x v="1"/>
    <n v="5"/>
    <x v="0"/>
  </r>
  <r>
    <n v="6263"/>
    <s v="Jaime Cook"/>
    <x v="3"/>
    <x v="2"/>
    <n v="5"/>
    <n v="6.99"/>
    <s v="Budget"/>
    <n v="4.194"/>
    <n v="34.950000000000003"/>
    <n v="30.756000000000004"/>
    <n v="0.88"/>
    <x v="0"/>
    <d v="2025-03-14T06:35:59"/>
    <d v="2025-03-14T06:35:59"/>
    <x v="2"/>
    <x v="2"/>
    <x v="1"/>
    <n v="6"/>
    <x v="0"/>
  </r>
  <r>
    <n v="4569"/>
    <s v="Jonathan Turner"/>
    <x v="0"/>
    <x v="0"/>
    <n v="4"/>
    <n v="19.73"/>
    <s v="Mid-Range"/>
    <n v="11.837999999999999"/>
    <n v="78.92"/>
    <n v="67.082000000000008"/>
    <n v="0.85000000000000009"/>
    <x v="3"/>
    <d v="2025-03-14T09:32:22"/>
    <d v="2025-03-14T09:32:22"/>
    <x v="2"/>
    <x v="2"/>
    <x v="1"/>
    <n v="9"/>
    <x v="0"/>
  </r>
  <r>
    <n v="2651"/>
    <s v="Andrew Stephens"/>
    <x v="6"/>
    <x v="2"/>
    <n v="3"/>
    <n v="24.99"/>
    <s v="Premium"/>
    <n v="14.993999999999998"/>
    <n v="74.97"/>
    <n v="59.975999999999999"/>
    <n v="0.8"/>
    <x v="1"/>
    <d v="2025-03-14T12:34:52"/>
    <d v="2025-03-14T12:34:52"/>
    <x v="2"/>
    <x v="2"/>
    <x v="1"/>
    <n v="12"/>
    <x v="1"/>
  </r>
  <r>
    <n v="5649"/>
    <s v="Larry Harvey"/>
    <x v="3"/>
    <x v="2"/>
    <n v="4"/>
    <n v="21.98"/>
    <s v="Premium"/>
    <n v="13.188000000000001"/>
    <n v="87.92"/>
    <n v="74.731999999999999"/>
    <n v="0.85"/>
    <x v="1"/>
    <d v="2025-03-14T15:47:32"/>
    <d v="2025-03-14T15:47:32"/>
    <x v="2"/>
    <x v="2"/>
    <x v="1"/>
    <n v="15"/>
    <x v="1"/>
  </r>
  <r>
    <n v="9447"/>
    <s v="Connor Williams"/>
    <x v="6"/>
    <x v="2"/>
    <n v="1"/>
    <n v="12.23"/>
    <s v="Mid-Range"/>
    <n v="7.3380000000000001"/>
    <n v="12.23"/>
    <n v="4.8920000000000003"/>
    <n v="0.4"/>
    <x v="0"/>
    <d v="2025-03-15T14:25:56"/>
    <d v="2025-03-15T14:25:56"/>
    <x v="2"/>
    <x v="3"/>
    <x v="1"/>
    <n v="14"/>
    <x v="1"/>
  </r>
  <r>
    <n v="7424"/>
    <s v="Derek Cooper"/>
    <x v="4"/>
    <x v="1"/>
    <n v="1"/>
    <n v="2.5099999999999998"/>
    <s v="Budget"/>
    <n v="1.5059999999999998"/>
    <n v="2.5099999999999998"/>
    <n v="1.004"/>
    <n v="0.4"/>
    <x v="3"/>
    <d v="2025-03-16T09:13:45"/>
    <d v="2025-03-16T09:13:45"/>
    <x v="2"/>
    <x v="4"/>
    <x v="0"/>
    <n v="9"/>
    <x v="0"/>
  </r>
  <r>
    <n v="4525"/>
    <s v="Kimberly Carter"/>
    <x v="3"/>
    <x v="2"/>
    <n v="5"/>
    <n v="23.15"/>
    <s v="Premium"/>
    <n v="13.889999999999999"/>
    <n v="115.75"/>
    <n v="101.86"/>
    <n v="0.88"/>
    <x v="3"/>
    <d v="2025-03-17T09:05:44"/>
    <d v="2025-03-17T09:05:44"/>
    <x v="2"/>
    <x v="6"/>
    <x v="0"/>
    <n v="9"/>
    <x v="0"/>
  </r>
  <r>
    <n v="6792"/>
    <s v="Jason Martin"/>
    <x v="6"/>
    <x v="2"/>
    <n v="4"/>
    <n v="8.76"/>
    <s v="Budget"/>
    <n v="5.2559999999999993"/>
    <n v="35.04"/>
    <n v="29.783999999999999"/>
    <n v="0.85"/>
    <x v="1"/>
    <d v="2025-03-18T13:25:29"/>
    <d v="2025-03-18T13:25:29"/>
    <x v="2"/>
    <x v="5"/>
    <x v="0"/>
    <n v="13"/>
    <x v="1"/>
  </r>
  <r>
    <n v="8290"/>
    <s v="Jeanette Ramirez"/>
    <x v="6"/>
    <x v="2"/>
    <n v="2"/>
    <n v="16.98"/>
    <s v="Mid-Range"/>
    <n v="10.188000000000001"/>
    <n v="33.96"/>
    <n v="23.771999999999998"/>
    <n v="0.7"/>
    <x v="3"/>
    <d v="2025-03-20T14:17:09"/>
    <d v="2025-03-20T14:17:09"/>
    <x v="2"/>
    <x v="1"/>
    <x v="0"/>
    <n v="14"/>
    <x v="1"/>
  </r>
  <r>
    <n v="9659"/>
    <s v="Christopher Chapman"/>
    <x v="6"/>
    <x v="2"/>
    <n v="1"/>
    <n v="19.13"/>
    <s v="Mid-Range"/>
    <n v="11.478"/>
    <n v="19.13"/>
    <n v="7.6519999999999992"/>
    <n v="0.39999999999999997"/>
    <x v="1"/>
    <d v="2025-03-20T14:46:35"/>
    <d v="2025-03-20T14:46:35"/>
    <x v="2"/>
    <x v="1"/>
    <x v="0"/>
    <n v="14"/>
    <x v="1"/>
  </r>
  <r>
    <n v="3293"/>
    <s v="Paul Cook"/>
    <x v="0"/>
    <x v="0"/>
    <n v="5"/>
    <n v="6.91"/>
    <s v="Budget"/>
    <n v="4.1459999999999999"/>
    <n v="34.549999999999997"/>
    <n v="30.403999999999996"/>
    <n v="0.88"/>
    <x v="3"/>
    <d v="2025-03-21T02:02:43"/>
    <d v="2025-03-21T02:02:43"/>
    <x v="2"/>
    <x v="2"/>
    <x v="1"/>
    <n v="2"/>
    <x v="0"/>
  </r>
  <r>
    <n v="4540"/>
    <s v="Daniel Lee"/>
    <x v="0"/>
    <x v="0"/>
    <n v="4"/>
    <n v="21.64"/>
    <s v="Premium"/>
    <n v="12.984"/>
    <n v="86.56"/>
    <n v="73.576000000000008"/>
    <n v="0.85000000000000009"/>
    <x v="2"/>
    <d v="2025-03-21T17:26:46"/>
    <d v="2025-03-21T17:26:46"/>
    <x v="2"/>
    <x v="2"/>
    <x v="1"/>
    <n v="17"/>
    <x v="1"/>
  </r>
  <r>
    <n v="8280"/>
    <s v="Shannon Mueller"/>
    <x v="7"/>
    <x v="0"/>
    <n v="2"/>
    <n v="22.99"/>
    <s v="Premium"/>
    <n v="13.793999999999999"/>
    <n v="45.98"/>
    <n v="32.186"/>
    <n v="0.70000000000000007"/>
    <x v="0"/>
    <d v="2025-03-22T04:57:13"/>
    <d v="2025-03-22T04:57:13"/>
    <x v="2"/>
    <x v="3"/>
    <x v="1"/>
    <n v="4"/>
    <x v="0"/>
  </r>
  <r>
    <n v="6070"/>
    <s v="Nicholas Carter"/>
    <x v="4"/>
    <x v="1"/>
    <n v="3"/>
    <n v="14.89"/>
    <s v="Mid-Range"/>
    <n v="8.9339999999999993"/>
    <n v="44.67"/>
    <n v="35.736000000000004"/>
    <n v="0.8"/>
    <x v="1"/>
    <d v="2025-03-22T07:05:56"/>
    <d v="2025-03-22T07:05:56"/>
    <x v="2"/>
    <x v="3"/>
    <x v="1"/>
    <n v="7"/>
    <x v="0"/>
  </r>
  <r>
    <n v="7426"/>
    <s v="Andrew Reilly"/>
    <x v="6"/>
    <x v="2"/>
    <n v="3"/>
    <n v="19.13"/>
    <s v="Mid-Range"/>
    <n v="11.478"/>
    <n v="57.39"/>
    <n v="45.911999999999999"/>
    <n v="0.79999999999999993"/>
    <x v="2"/>
    <d v="2025-03-22T14:22:43"/>
    <d v="2025-03-22T14:22:43"/>
    <x v="2"/>
    <x v="3"/>
    <x v="1"/>
    <n v="14"/>
    <x v="1"/>
  </r>
  <r>
    <n v="1239"/>
    <s v="Erica Sutton"/>
    <x v="2"/>
    <x v="2"/>
    <n v="3"/>
    <n v="17.61"/>
    <s v="Mid-Range"/>
    <n v="10.565999999999999"/>
    <n v="52.83"/>
    <n v="42.263999999999996"/>
    <n v="0.79999999999999993"/>
    <x v="0"/>
    <d v="2025-03-23T00:51:35"/>
    <d v="2025-03-23T00:51:35"/>
    <x v="2"/>
    <x v="4"/>
    <x v="0"/>
    <n v="0"/>
    <x v="0"/>
  </r>
  <r>
    <n v="8968"/>
    <s v="Karen Cain"/>
    <x v="7"/>
    <x v="0"/>
    <n v="1"/>
    <n v="16.309999999999999"/>
    <s v="Mid-Range"/>
    <n v="9.7859999999999996"/>
    <n v="16.309999999999999"/>
    <n v="6.5239999999999991"/>
    <n v="0.39999999999999997"/>
    <x v="1"/>
    <d v="2025-03-23T15:16:35"/>
    <d v="2025-03-23T15:16:35"/>
    <x v="2"/>
    <x v="4"/>
    <x v="0"/>
    <n v="15"/>
    <x v="1"/>
  </r>
  <r>
    <n v="5954"/>
    <s v="Christopher Kramer"/>
    <x v="8"/>
    <x v="0"/>
    <n v="3"/>
    <n v="6.4"/>
    <s v="Budget"/>
    <n v="3.84"/>
    <n v="19.200000000000003"/>
    <n v="15.360000000000003"/>
    <n v="0.8"/>
    <x v="2"/>
    <d v="2025-03-23T16:44:20"/>
    <d v="2025-03-23T16:44:20"/>
    <x v="2"/>
    <x v="4"/>
    <x v="0"/>
    <n v="16"/>
    <x v="1"/>
  </r>
  <r>
    <n v="9513"/>
    <s v="Lisa Walters"/>
    <x v="5"/>
    <x v="1"/>
    <n v="2"/>
    <n v="9.81"/>
    <s v="Budget"/>
    <n v="5.8860000000000001"/>
    <n v="19.62"/>
    <n v="13.734000000000002"/>
    <n v="0.70000000000000007"/>
    <x v="2"/>
    <d v="2025-03-23T18:38:49"/>
    <d v="2025-03-23T18:38:49"/>
    <x v="2"/>
    <x v="4"/>
    <x v="0"/>
    <n v="18"/>
    <x v="2"/>
  </r>
  <r>
    <n v="1084"/>
    <s v="Eric Nguyen"/>
    <x v="7"/>
    <x v="0"/>
    <n v="4"/>
    <n v="22.41"/>
    <s v="Premium"/>
    <n v="13.446"/>
    <n v="89.64"/>
    <n v="76.194000000000003"/>
    <n v="0.85"/>
    <x v="1"/>
    <d v="2025-03-24T01:48:12"/>
    <d v="2025-03-24T01:48:12"/>
    <x v="2"/>
    <x v="6"/>
    <x v="0"/>
    <n v="1"/>
    <x v="0"/>
  </r>
  <r>
    <n v="9859"/>
    <s v="William Rasmussen"/>
    <x v="1"/>
    <x v="1"/>
    <n v="5"/>
    <n v="10.01"/>
    <s v="Mid-Range"/>
    <n v="6.0059999999999993"/>
    <n v="50.05"/>
    <n v="44.043999999999997"/>
    <n v="0.88"/>
    <x v="3"/>
    <d v="2025-03-24T13:55:08"/>
    <d v="2025-03-24T13:55:08"/>
    <x v="2"/>
    <x v="6"/>
    <x v="0"/>
    <n v="13"/>
    <x v="1"/>
  </r>
  <r>
    <n v="9927"/>
    <s v="Gary Phillips"/>
    <x v="8"/>
    <x v="0"/>
    <n v="2"/>
    <n v="17.57"/>
    <s v="Mid-Range"/>
    <n v="10.542"/>
    <n v="35.14"/>
    <n v="24.597999999999999"/>
    <n v="0.7"/>
    <x v="2"/>
    <d v="2025-03-24T20:55:14"/>
    <d v="2025-03-24T20:55:14"/>
    <x v="2"/>
    <x v="6"/>
    <x v="0"/>
    <n v="20"/>
    <x v="2"/>
  </r>
  <r>
    <n v="7972"/>
    <s v="Barbara Ray"/>
    <x v="4"/>
    <x v="1"/>
    <n v="1"/>
    <n v="17.86"/>
    <s v="Mid-Range"/>
    <n v="10.715999999999999"/>
    <n v="17.86"/>
    <n v="7.1440000000000001"/>
    <n v="0.4"/>
    <x v="0"/>
    <d v="2025-03-25T05:17:32"/>
    <d v="2025-03-25T05:17:32"/>
    <x v="2"/>
    <x v="5"/>
    <x v="0"/>
    <n v="5"/>
    <x v="0"/>
  </r>
  <r>
    <n v="6257"/>
    <s v="Nichole Lopez"/>
    <x v="3"/>
    <x v="2"/>
    <n v="5"/>
    <n v="14.18"/>
    <s v="Mid-Range"/>
    <n v="8.5079999999999991"/>
    <n v="70.900000000000006"/>
    <n v="62.39200000000001"/>
    <n v="0.88000000000000012"/>
    <x v="3"/>
    <d v="2025-03-25T08:30:27"/>
    <d v="2025-03-25T08:30:27"/>
    <x v="2"/>
    <x v="5"/>
    <x v="0"/>
    <n v="8"/>
    <x v="0"/>
  </r>
  <r>
    <n v="4115"/>
    <s v="William Blevins"/>
    <x v="2"/>
    <x v="2"/>
    <n v="1"/>
    <n v="8.92"/>
    <s v="Budget"/>
    <n v="5.3519999999999994"/>
    <n v="8.92"/>
    <n v="3.5680000000000005"/>
    <n v="0.40000000000000008"/>
    <x v="0"/>
    <d v="2025-03-26T07:57:36"/>
    <d v="2025-03-26T07:57:36"/>
    <x v="2"/>
    <x v="0"/>
    <x v="0"/>
    <n v="7"/>
    <x v="0"/>
  </r>
  <r>
    <n v="4081"/>
    <s v="Jennifer Friedman"/>
    <x v="4"/>
    <x v="1"/>
    <n v="5"/>
    <n v="17.18"/>
    <s v="Mid-Range"/>
    <n v="10.308"/>
    <n v="85.9"/>
    <n v="75.592000000000013"/>
    <n v="0.88000000000000012"/>
    <x v="1"/>
    <d v="2025-03-26T08:57:40"/>
    <d v="2025-03-26T08:57:40"/>
    <x v="2"/>
    <x v="0"/>
    <x v="0"/>
    <n v="8"/>
    <x v="0"/>
  </r>
  <r>
    <n v="6030"/>
    <s v="Corey Roberts"/>
    <x v="3"/>
    <x v="2"/>
    <n v="1"/>
    <n v="20.329999999999998"/>
    <s v="Premium"/>
    <n v="12.197999999999999"/>
    <n v="20.329999999999998"/>
    <n v="8.1319999999999997"/>
    <n v="0.4"/>
    <x v="0"/>
    <d v="2025-03-26T09:27:13"/>
    <d v="2025-03-26T09:27:13"/>
    <x v="2"/>
    <x v="0"/>
    <x v="0"/>
    <n v="9"/>
    <x v="0"/>
  </r>
  <r>
    <n v="4403"/>
    <s v="Suzanne Graham"/>
    <x v="6"/>
    <x v="2"/>
    <n v="2"/>
    <n v="24.01"/>
    <s v="Premium"/>
    <n v="14.406000000000001"/>
    <n v="48.02"/>
    <n v="33.614000000000004"/>
    <n v="0.70000000000000007"/>
    <x v="0"/>
    <d v="2025-03-27T08:24:22"/>
    <d v="2025-03-27T08:24:22"/>
    <x v="2"/>
    <x v="1"/>
    <x v="0"/>
    <n v="8"/>
    <x v="0"/>
  </r>
  <r>
    <n v="6863"/>
    <s v="Marisa Chang"/>
    <x v="2"/>
    <x v="2"/>
    <n v="1"/>
    <n v="16.38"/>
    <s v="Mid-Range"/>
    <n v="9.8279999999999994"/>
    <n v="16.38"/>
    <n v="6.5519999999999996"/>
    <n v="0.4"/>
    <x v="2"/>
    <d v="2025-03-27T12:16:48"/>
    <d v="2025-03-27T12:16:48"/>
    <x v="2"/>
    <x v="1"/>
    <x v="0"/>
    <n v="12"/>
    <x v="1"/>
  </r>
  <r>
    <n v="3744"/>
    <s v="James Black"/>
    <x v="7"/>
    <x v="0"/>
    <n v="3"/>
    <n v="7.77"/>
    <s v="Budget"/>
    <n v="4.6619999999999999"/>
    <n v="23.31"/>
    <n v="18.648"/>
    <n v="0.8"/>
    <x v="2"/>
    <d v="2025-03-28T00:20:40"/>
    <d v="2025-03-28T00:20:40"/>
    <x v="2"/>
    <x v="2"/>
    <x v="1"/>
    <n v="0"/>
    <x v="0"/>
  </r>
  <r>
    <n v="5095"/>
    <s v="Mrs. Amber Hansen"/>
    <x v="4"/>
    <x v="1"/>
    <n v="3"/>
    <n v="18.920000000000002"/>
    <s v="Mid-Range"/>
    <n v="11.352"/>
    <n v="56.760000000000005"/>
    <n v="45.408000000000001"/>
    <n v="0.79999999999999993"/>
    <x v="3"/>
    <d v="2025-03-28T17:29:59"/>
    <d v="2025-03-28T17:29:59"/>
    <x v="2"/>
    <x v="2"/>
    <x v="1"/>
    <n v="17"/>
    <x v="1"/>
  </r>
  <r>
    <n v="7117"/>
    <s v="Robert Mahoney"/>
    <x v="4"/>
    <x v="1"/>
    <n v="1"/>
    <n v="3.02"/>
    <s v="Budget"/>
    <n v="1.8119999999999998"/>
    <n v="3.02"/>
    <n v="1.2080000000000002"/>
    <n v="0.40000000000000008"/>
    <x v="3"/>
    <d v="2025-03-29T02:52:06"/>
    <d v="2025-03-29T02:52:06"/>
    <x v="2"/>
    <x v="3"/>
    <x v="1"/>
    <n v="2"/>
    <x v="0"/>
  </r>
  <r>
    <n v="1770"/>
    <s v="Randall Decker"/>
    <x v="5"/>
    <x v="1"/>
    <n v="1"/>
    <n v="20.5"/>
    <s v="Premium"/>
    <n v="12.299999999999999"/>
    <n v="20.5"/>
    <n v="8.2000000000000011"/>
    <n v="0.40000000000000008"/>
    <x v="1"/>
    <d v="2025-03-29T05:22:33"/>
    <d v="2025-03-29T05:22:33"/>
    <x v="2"/>
    <x v="3"/>
    <x v="1"/>
    <n v="5"/>
    <x v="0"/>
  </r>
  <r>
    <n v="5520"/>
    <s v="Michael Robinson"/>
    <x v="8"/>
    <x v="0"/>
    <n v="2"/>
    <n v="7.19"/>
    <s v="Budget"/>
    <n v="4.3140000000000001"/>
    <n v="14.38"/>
    <n v="10.066000000000001"/>
    <n v="0.70000000000000007"/>
    <x v="3"/>
    <d v="2025-03-29T13:20:53"/>
    <d v="2025-03-29T13:20:53"/>
    <x v="2"/>
    <x v="3"/>
    <x v="1"/>
    <n v="13"/>
    <x v="1"/>
  </r>
  <r>
    <n v="2859"/>
    <s v="Carolyn Wright"/>
    <x v="6"/>
    <x v="2"/>
    <n v="5"/>
    <n v="23.02"/>
    <s v="Premium"/>
    <n v="13.811999999999999"/>
    <n v="115.1"/>
    <n v="101.288"/>
    <n v="0.88"/>
    <x v="0"/>
    <d v="2025-03-29T13:31:35"/>
    <d v="2025-03-29T13:31:35"/>
    <x v="2"/>
    <x v="3"/>
    <x v="1"/>
    <n v="13"/>
    <x v="1"/>
  </r>
  <r>
    <n v="6590"/>
    <s v="Jason Hill"/>
    <x v="6"/>
    <x v="2"/>
    <n v="5"/>
    <n v="17.04"/>
    <s v="Mid-Range"/>
    <n v="10.223999999999998"/>
    <n v="85.199999999999989"/>
    <n v="74.975999999999985"/>
    <n v="0.87999999999999989"/>
    <x v="2"/>
    <d v="2025-03-29T16:25:41"/>
    <d v="2025-03-29T16:25:41"/>
    <x v="2"/>
    <x v="3"/>
    <x v="1"/>
    <n v="16"/>
    <x v="1"/>
  </r>
  <r>
    <n v="1326"/>
    <s v="Shane Garcia"/>
    <x v="7"/>
    <x v="0"/>
    <n v="3"/>
    <n v="21.3"/>
    <s v="Premium"/>
    <n v="12.78"/>
    <n v="63.900000000000006"/>
    <n v="51.120000000000005"/>
    <n v="0.8"/>
    <x v="1"/>
    <d v="2025-03-31T19:58:00"/>
    <d v="2025-03-31T19:58:00"/>
    <x v="2"/>
    <x v="6"/>
    <x v="0"/>
    <n v="19"/>
    <x v="2"/>
  </r>
  <r>
    <n v="7257"/>
    <s v="Diane Olson"/>
    <x v="7"/>
    <x v="0"/>
    <n v="3"/>
    <n v="11.61"/>
    <s v="Mid-Range"/>
    <n v="6.9659999999999993"/>
    <n v="34.83"/>
    <n v="27.863999999999997"/>
    <n v="0.79999999999999993"/>
    <x v="2"/>
    <d v="2025-04-01T15:08:15"/>
    <d v="2025-04-01T15:08:15"/>
    <x v="3"/>
    <x v="5"/>
    <x v="0"/>
    <n v="15"/>
    <x v="1"/>
  </r>
  <r>
    <n v="2660"/>
    <s v="Patricia Johnson"/>
    <x v="0"/>
    <x v="0"/>
    <n v="3"/>
    <n v="14.93"/>
    <s v="Mid-Range"/>
    <n v="8.9580000000000002"/>
    <n v="44.79"/>
    <n v="35.832000000000001"/>
    <n v="0.8"/>
    <x v="3"/>
    <d v="2025-04-03T19:30:06"/>
    <d v="2025-04-03T19:30:06"/>
    <x v="3"/>
    <x v="1"/>
    <x v="0"/>
    <n v="19"/>
    <x v="2"/>
  </r>
  <r>
    <n v="4846"/>
    <s v="Joshua Walls"/>
    <x v="2"/>
    <x v="2"/>
    <n v="2"/>
    <n v="10.54"/>
    <s v="Mid-Range"/>
    <n v="6.323999999999999"/>
    <n v="21.08"/>
    <n v="14.756"/>
    <n v="0.70000000000000007"/>
    <x v="3"/>
    <d v="2025-04-04T06:25:55"/>
    <d v="2025-04-04T06:25:55"/>
    <x v="3"/>
    <x v="2"/>
    <x v="1"/>
    <n v="6"/>
    <x v="0"/>
  </r>
  <r>
    <n v="3017"/>
    <s v="Bobby Horton"/>
    <x v="1"/>
    <x v="1"/>
    <n v="1"/>
    <n v="14.93"/>
    <s v="Mid-Range"/>
    <n v="8.9580000000000002"/>
    <n v="14.93"/>
    <n v="5.9719999999999995"/>
    <n v="0.39999999999999997"/>
    <x v="2"/>
    <d v="2025-04-04T11:08:06"/>
    <d v="2025-04-04T11:08:06"/>
    <x v="3"/>
    <x v="2"/>
    <x v="1"/>
    <n v="11"/>
    <x v="0"/>
  </r>
  <r>
    <n v="5624"/>
    <s v="Brenda Contreras"/>
    <x v="8"/>
    <x v="0"/>
    <n v="5"/>
    <n v="20.07"/>
    <s v="Premium"/>
    <n v="12.042"/>
    <n v="100.35"/>
    <n v="88.307999999999993"/>
    <n v="0.88"/>
    <x v="3"/>
    <d v="2025-04-04T16:28:30"/>
    <d v="2025-04-04T16:28:30"/>
    <x v="3"/>
    <x v="2"/>
    <x v="1"/>
    <n v="16"/>
    <x v="1"/>
  </r>
  <r>
    <n v="1278"/>
    <s v="Kevin Gonzalez"/>
    <x v="3"/>
    <x v="2"/>
    <n v="3"/>
    <n v="8.6999999999999993"/>
    <s v="Budget"/>
    <n v="5.22"/>
    <n v="26.099999999999998"/>
    <n v="20.88"/>
    <n v="0.8"/>
    <x v="0"/>
    <d v="2025-04-05T12:33:55"/>
    <d v="2025-04-05T12:33:55"/>
    <x v="3"/>
    <x v="3"/>
    <x v="1"/>
    <n v="12"/>
    <x v="1"/>
  </r>
  <r>
    <n v="4367"/>
    <s v="Christopher Frederick"/>
    <x v="4"/>
    <x v="1"/>
    <n v="5"/>
    <n v="4.4000000000000004"/>
    <s v="Budget"/>
    <n v="2.64"/>
    <n v="22"/>
    <n v="19.36"/>
    <n v="0.88"/>
    <x v="0"/>
    <d v="2025-04-05T14:19:36"/>
    <d v="2025-04-05T14:19:36"/>
    <x v="3"/>
    <x v="3"/>
    <x v="1"/>
    <n v="14"/>
    <x v="1"/>
  </r>
  <r>
    <n v="3517"/>
    <s v="Christopher Ali"/>
    <x v="4"/>
    <x v="1"/>
    <n v="2"/>
    <n v="19.52"/>
    <s v="Mid-Range"/>
    <n v="11.712"/>
    <n v="39.04"/>
    <n v="27.327999999999999"/>
    <n v="0.7"/>
    <x v="0"/>
    <d v="2025-04-06T03:15:29"/>
    <d v="2025-04-06T03:15:29"/>
    <x v="3"/>
    <x v="4"/>
    <x v="0"/>
    <n v="3"/>
    <x v="0"/>
  </r>
  <r>
    <n v="8174"/>
    <s v="Troy Roberts"/>
    <x v="8"/>
    <x v="0"/>
    <n v="2"/>
    <n v="7.19"/>
    <s v="Budget"/>
    <n v="4.3140000000000001"/>
    <n v="14.38"/>
    <n v="10.066000000000001"/>
    <n v="0.70000000000000007"/>
    <x v="3"/>
    <d v="2025-04-06T05:47:27"/>
    <d v="2025-04-06T05:47:27"/>
    <x v="3"/>
    <x v="4"/>
    <x v="0"/>
    <n v="5"/>
    <x v="0"/>
  </r>
  <r>
    <n v="9089"/>
    <s v="Don Davis"/>
    <x v="7"/>
    <x v="0"/>
    <n v="5"/>
    <n v="16.93"/>
    <s v="Mid-Range"/>
    <n v="10.157999999999999"/>
    <n v="84.65"/>
    <n v="74.492000000000004"/>
    <n v="0.88"/>
    <x v="1"/>
    <d v="2025-04-06T14:37:59"/>
    <d v="2025-04-06T14:37:59"/>
    <x v="3"/>
    <x v="4"/>
    <x v="0"/>
    <n v="14"/>
    <x v="1"/>
  </r>
  <r>
    <n v="6706"/>
    <s v="Luis Welch"/>
    <x v="5"/>
    <x v="1"/>
    <n v="5"/>
    <n v="9.32"/>
    <s v="Budget"/>
    <n v="5.5919999999999996"/>
    <n v="46.6"/>
    <n v="41.008000000000003"/>
    <n v="0.88"/>
    <x v="2"/>
    <d v="2025-04-06T18:44:14"/>
    <d v="2025-04-06T18:44:14"/>
    <x v="3"/>
    <x v="4"/>
    <x v="0"/>
    <n v="18"/>
    <x v="2"/>
  </r>
  <r>
    <n v="9301"/>
    <s v="Jessica Jacobs"/>
    <x v="8"/>
    <x v="0"/>
    <n v="1"/>
    <n v="17.89"/>
    <s v="Mid-Range"/>
    <n v="10.734"/>
    <n v="17.89"/>
    <n v="7.1560000000000006"/>
    <n v="0.4"/>
    <x v="3"/>
    <d v="2025-04-07T07:43:46"/>
    <d v="2025-04-07T07:43:46"/>
    <x v="3"/>
    <x v="6"/>
    <x v="0"/>
    <n v="7"/>
    <x v="0"/>
  </r>
  <r>
    <n v="1177"/>
    <s v="Janice Sanchez"/>
    <x v="6"/>
    <x v="2"/>
    <n v="5"/>
    <n v="2.44"/>
    <s v="Budget"/>
    <n v="1.464"/>
    <n v="12.2"/>
    <n v="10.735999999999999"/>
    <n v="0.88"/>
    <x v="0"/>
    <d v="2025-04-07T13:48:37"/>
    <d v="2025-04-07T13:48:37"/>
    <x v="3"/>
    <x v="6"/>
    <x v="0"/>
    <n v="13"/>
    <x v="1"/>
  </r>
  <r>
    <n v="1057"/>
    <s v="Hannah Brown"/>
    <x v="6"/>
    <x v="2"/>
    <n v="5"/>
    <n v="5.12"/>
    <s v="Budget"/>
    <n v="3.0720000000000001"/>
    <n v="25.6"/>
    <n v="22.528000000000002"/>
    <n v="0.88"/>
    <x v="3"/>
    <d v="2025-04-08T03:59:14"/>
    <d v="2025-04-08T03:59:14"/>
    <x v="3"/>
    <x v="5"/>
    <x v="0"/>
    <n v="3"/>
    <x v="0"/>
  </r>
  <r>
    <n v="7535"/>
    <s v="Corey Rodriguez"/>
    <x v="3"/>
    <x v="2"/>
    <n v="2"/>
    <n v="22.45"/>
    <s v="Premium"/>
    <n v="13.469999999999999"/>
    <n v="44.9"/>
    <n v="31.43"/>
    <n v="0.70000000000000007"/>
    <x v="0"/>
    <d v="2025-04-08T09:28:37"/>
    <d v="2025-04-08T09:28:37"/>
    <x v="3"/>
    <x v="5"/>
    <x v="0"/>
    <n v="9"/>
    <x v="0"/>
  </r>
  <r>
    <n v="4352"/>
    <s v="Janet Clark"/>
    <x v="6"/>
    <x v="2"/>
    <n v="5"/>
    <n v="2.5099999999999998"/>
    <s v="Budget"/>
    <n v="1.5059999999999998"/>
    <n v="12.549999999999999"/>
    <n v="11.043999999999999"/>
    <n v="0.88"/>
    <x v="3"/>
    <d v="2025-04-09T04:26:07"/>
    <d v="2025-04-09T04:26:07"/>
    <x v="3"/>
    <x v="0"/>
    <x v="0"/>
    <n v="4"/>
    <x v="0"/>
  </r>
  <r>
    <n v="8196"/>
    <s v="Michele Ball"/>
    <x v="5"/>
    <x v="1"/>
    <n v="1"/>
    <n v="13.91"/>
    <s v="Mid-Range"/>
    <n v="8.3460000000000001"/>
    <n v="13.91"/>
    <n v="5.5640000000000001"/>
    <n v="0.4"/>
    <x v="1"/>
    <d v="2025-04-09T17:49:36"/>
    <d v="2025-04-09T17:49:36"/>
    <x v="3"/>
    <x v="0"/>
    <x v="0"/>
    <n v="17"/>
    <x v="1"/>
  </r>
  <r>
    <n v="1816"/>
    <s v="Brandy Terrell"/>
    <x v="5"/>
    <x v="1"/>
    <n v="3"/>
    <n v="21.93"/>
    <s v="Premium"/>
    <n v="13.157999999999999"/>
    <n v="65.789999999999992"/>
    <n v="52.631999999999991"/>
    <n v="0.79999999999999993"/>
    <x v="0"/>
    <d v="2025-04-09T19:56:32"/>
    <d v="2025-04-09T19:56:32"/>
    <x v="3"/>
    <x v="0"/>
    <x v="0"/>
    <n v="19"/>
    <x v="2"/>
  </r>
  <r>
    <n v="1510"/>
    <s v="Fernando Burke"/>
    <x v="2"/>
    <x v="2"/>
    <n v="5"/>
    <n v="7.5"/>
    <s v="Budget"/>
    <n v="4.5"/>
    <n v="37.5"/>
    <n v="33"/>
    <n v="0.88"/>
    <x v="2"/>
    <d v="2025-04-10T07:42:52"/>
    <d v="2025-04-10T07:42:52"/>
    <x v="3"/>
    <x v="1"/>
    <x v="0"/>
    <n v="7"/>
    <x v="0"/>
  </r>
  <r>
    <n v="5747"/>
    <s v="Richard Rodriguez"/>
    <x v="1"/>
    <x v="1"/>
    <n v="2"/>
    <n v="8.57"/>
    <s v="Budget"/>
    <n v="5.1420000000000003"/>
    <n v="17.14"/>
    <n v="11.998000000000001"/>
    <n v="0.70000000000000007"/>
    <x v="3"/>
    <d v="2025-04-10T12:57:23"/>
    <d v="2025-04-10T12:57:23"/>
    <x v="3"/>
    <x v="1"/>
    <x v="0"/>
    <n v="12"/>
    <x v="1"/>
  </r>
  <r>
    <n v="5892"/>
    <s v="David Rodriguez"/>
    <x v="4"/>
    <x v="1"/>
    <n v="5"/>
    <n v="22.63"/>
    <s v="Premium"/>
    <n v="13.577999999999999"/>
    <n v="113.14999999999999"/>
    <n v="99.571999999999989"/>
    <n v="0.88"/>
    <x v="3"/>
    <d v="2025-04-10T14:07:29"/>
    <d v="2025-04-10T14:07:29"/>
    <x v="3"/>
    <x v="1"/>
    <x v="0"/>
    <n v="14"/>
    <x v="1"/>
  </r>
  <r>
    <n v="5845"/>
    <s v="Alicia Clark"/>
    <x v="6"/>
    <x v="2"/>
    <n v="5"/>
    <n v="10.83"/>
    <s v="Mid-Range"/>
    <n v="6.4980000000000002"/>
    <n v="54.15"/>
    <n v="47.652000000000001"/>
    <n v="0.88"/>
    <x v="3"/>
    <d v="2025-04-12T00:03:30"/>
    <d v="2025-04-12T00:03:30"/>
    <x v="3"/>
    <x v="3"/>
    <x v="1"/>
    <n v="0"/>
    <x v="0"/>
  </r>
  <r>
    <n v="1587"/>
    <s v="Matthew Miles"/>
    <x v="5"/>
    <x v="1"/>
    <n v="5"/>
    <n v="7.39"/>
    <s v="Budget"/>
    <n v="4.4339999999999993"/>
    <n v="36.949999999999996"/>
    <n v="32.515999999999998"/>
    <n v="0.88"/>
    <x v="3"/>
    <d v="2025-04-12T05:49:18"/>
    <d v="2025-04-12T05:49:18"/>
    <x v="3"/>
    <x v="3"/>
    <x v="1"/>
    <n v="5"/>
    <x v="0"/>
  </r>
  <r>
    <n v="1088"/>
    <s v="Carol Lynch"/>
    <x v="1"/>
    <x v="1"/>
    <n v="1"/>
    <n v="14.82"/>
    <s v="Mid-Range"/>
    <n v="8.8919999999999995"/>
    <n v="14.82"/>
    <n v="5.9280000000000008"/>
    <n v="0.4"/>
    <x v="0"/>
    <d v="2025-04-12T10:21:40"/>
    <d v="2025-04-12T10:21:40"/>
    <x v="3"/>
    <x v="3"/>
    <x v="1"/>
    <n v="10"/>
    <x v="0"/>
  </r>
  <r>
    <n v="4859"/>
    <s v="Michael Miller"/>
    <x v="3"/>
    <x v="2"/>
    <n v="3"/>
    <n v="9.52"/>
    <s v="Budget"/>
    <n v="5.7119999999999997"/>
    <n v="28.56"/>
    <n v="22.847999999999999"/>
    <n v="0.8"/>
    <x v="0"/>
    <d v="2025-04-12T14:32:05"/>
    <d v="2025-04-12T14:32:05"/>
    <x v="3"/>
    <x v="3"/>
    <x v="1"/>
    <n v="14"/>
    <x v="1"/>
  </r>
  <r>
    <n v="5559"/>
    <s v="Autumn Robinson"/>
    <x v="4"/>
    <x v="1"/>
    <n v="1"/>
    <n v="20.93"/>
    <s v="Premium"/>
    <n v="12.558"/>
    <n v="20.93"/>
    <n v="8.3719999999999999"/>
    <n v="0.4"/>
    <x v="2"/>
    <d v="2025-04-13T02:12:07"/>
    <d v="2025-04-13T02:12:07"/>
    <x v="3"/>
    <x v="4"/>
    <x v="0"/>
    <n v="2"/>
    <x v="0"/>
  </r>
  <r>
    <n v="7805"/>
    <s v="Dakota Hughes"/>
    <x v="1"/>
    <x v="1"/>
    <n v="1"/>
    <n v="17.82"/>
    <s v="Mid-Range"/>
    <n v="10.692"/>
    <n v="17.82"/>
    <n v="7.1280000000000001"/>
    <n v="0.4"/>
    <x v="2"/>
    <d v="2025-04-13T05:56:05"/>
    <d v="2025-04-13T05:56:05"/>
    <x v="3"/>
    <x v="4"/>
    <x v="0"/>
    <n v="5"/>
    <x v="0"/>
  </r>
  <r>
    <n v="7046"/>
    <s v="Jeremy Johnson"/>
    <x v="8"/>
    <x v="0"/>
    <n v="2"/>
    <n v="13.69"/>
    <s v="Mid-Range"/>
    <n v="8.2139999999999986"/>
    <n v="27.38"/>
    <n v="19.166"/>
    <n v="0.70000000000000007"/>
    <x v="0"/>
    <d v="2025-04-13T18:17:07"/>
    <d v="2025-04-13T18:17:07"/>
    <x v="3"/>
    <x v="4"/>
    <x v="0"/>
    <n v="18"/>
    <x v="2"/>
  </r>
  <r>
    <n v="2013"/>
    <s v="Morgan Simmons"/>
    <x v="0"/>
    <x v="0"/>
    <n v="4"/>
    <n v="9.02"/>
    <s v="Budget"/>
    <n v="5.4119999999999999"/>
    <n v="36.08"/>
    <n v="30.667999999999999"/>
    <n v="0.85"/>
    <x v="2"/>
    <d v="2025-04-13T21:22:50"/>
    <d v="2025-04-13T21:22:50"/>
    <x v="3"/>
    <x v="4"/>
    <x v="0"/>
    <n v="21"/>
    <x v="2"/>
  </r>
  <r>
    <n v="1439"/>
    <s v="Eric Moss"/>
    <x v="5"/>
    <x v="1"/>
    <n v="5"/>
    <n v="7.94"/>
    <s v="Budget"/>
    <n v="4.7640000000000002"/>
    <n v="39.700000000000003"/>
    <n v="34.936"/>
    <n v="0.87999999999999989"/>
    <x v="2"/>
    <d v="2025-04-14T02:26:51"/>
    <d v="2025-04-14T02:26:51"/>
    <x v="3"/>
    <x v="6"/>
    <x v="0"/>
    <n v="2"/>
    <x v="0"/>
  </r>
  <r>
    <n v="8828"/>
    <s v="Bailey Pearson"/>
    <x v="3"/>
    <x v="2"/>
    <n v="1"/>
    <n v="13.11"/>
    <s v="Mid-Range"/>
    <n v="7.8659999999999997"/>
    <n v="13.11"/>
    <n v="5.2439999999999998"/>
    <n v="0.4"/>
    <x v="0"/>
    <d v="2025-04-14T06:03:32"/>
    <d v="2025-04-14T06:03:32"/>
    <x v="3"/>
    <x v="6"/>
    <x v="0"/>
    <n v="6"/>
    <x v="0"/>
  </r>
  <r>
    <n v="7092"/>
    <s v="Michael Smith"/>
    <x v="3"/>
    <x v="2"/>
    <n v="3"/>
    <n v="3.13"/>
    <s v="Budget"/>
    <n v="1.8779999999999999"/>
    <n v="9.39"/>
    <n v="7.5120000000000005"/>
    <n v="0.8"/>
    <x v="3"/>
    <d v="2025-04-15T10:57:58"/>
    <d v="2025-04-15T10:57:58"/>
    <x v="3"/>
    <x v="5"/>
    <x v="0"/>
    <n v="10"/>
    <x v="0"/>
  </r>
  <r>
    <n v="8875"/>
    <s v="Jennifer Moreno"/>
    <x v="5"/>
    <x v="1"/>
    <n v="2"/>
    <n v="20.3"/>
    <s v="Premium"/>
    <n v="12.18"/>
    <n v="40.6"/>
    <n v="28.42"/>
    <n v="0.70000000000000007"/>
    <x v="1"/>
    <d v="2025-04-16T04:11:26"/>
    <d v="2025-04-16T04:11:26"/>
    <x v="3"/>
    <x v="0"/>
    <x v="0"/>
    <n v="4"/>
    <x v="0"/>
  </r>
  <r>
    <n v="3605"/>
    <s v="Bradley Young"/>
    <x v="5"/>
    <x v="1"/>
    <n v="1"/>
    <n v="4.58"/>
    <s v="Budget"/>
    <n v="2.7479999999999998"/>
    <n v="4.58"/>
    <n v="1.8320000000000003"/>
    <n v="0.40000000000000008"/>
    <x v="1"/>
    <d v="2025-04-16T14:09:40"/>
    <d v="2025-04-16T14:09:40"/>
    <x v="3"/>
    <x v="0"/>
    <x v="0"/>
    <n v="14"/>
    <x v="1"/>
  </r>
  <r>
    <n v="4803"/>
    <s v="Denise Ortega"/>
    <x v="1"/>
    <x v="1"/>
    <n v="5"/>
    <n v="7.76"/>
    <s v="Budget"/>
    <n v="4.6559999999999997"/>
    <n v="38.799999999999997"/>
    <n v="34.143999999999998"/>
    <n v="0.88"/>
    <x v="1"/>
    <d v="2025-04-17T12:31:41"/>
    <d v="2025-04-17T12:31:41"/>
    <x v="3"/>
    <x v="1"/>
    <x v="0"/>
    <n v="12"/>
    <x v="1"/>
  </r>
  <r>
    <n v="9798"/>
    <s v="Mark Randolph"/>
    <x v="4"/>
    <x v="1"/>
    <n v="5"/>
    <n v="10.53"/>
    <s v="Mid-Range"/>
    <n v="6.3179999999999996"/>
    <n v="52.65"/>
    <n v="46.332000000000001"/>
    <n v="0.88"/>
    <x v="0"/>
    <d v="2025-04-17T18:30:55"/>
    <d v="2025-04-17T18:30:55"/>
    <x v="3"/>
    <x v="1"/>
    <x v="0"/>
    <n v="18"/>
    <x v="2"/>
  </r>
  <r>
    <n v="3280"/>
    <s v="Kelly Curry"/>
    <x v="1"/>
    <x v="1"/>
    <n v="4"/>
    <n v="2.06"/>
    <s v="Budget"/>
    <n v="1.236"/>
    <n v="8.24"/>
    <n v="7.0040000000000004"/>
    <n v="0.85"/>
    <x v="0"/>
    <d v="2025-04-18T01:57:04"/>
    <d v="2025-04-18T01:57:04"/>
    <x v="3"/>
    <x v="2"/>
    <x v="1"/>
    <n v="1"/>
    <x v="0"/>
  </r>
  <r>
    <n v="5544"/>
    <s v="Derek Carlson"/>
    <x v="2"/>
    <x v="2"/>
    <n v="2"/>
    <n v="10.24"/>
    <s v="Mid-Range"/>
    <n v="6.1440000000000001"/>
    <n v="20.48"/>
    <n v="14.336"/>
    <n v="0.7"/>
    <x v="3"/>
    <d v="2025-04-18T11:28:47"/>
    <d v="2025-04-18T11:28:47"/>
    <x v="3"/>
    <x v="2"/>
    <x v="1"/>
    <n v="11"/>
    <x v="0"/>
  </r>
  <r>
    <n v="5387"/>
    <s v="Elizabeth Frazier"/>
    <x v="6"/>
    <x v="2"/>
    <n v="1"/>
    <n v="16.579999999999998"/>
    <s v="Mid-Range"/>
    <n v="9.9479999999999986"/>
    <n v="16.579999999999998"/>
    <n v="6.6319999999999997"/>
    <n v="0.4"/>
    <x v="0"/>
    <d v="2025-04-20T02:29:39"/>
    <d v="2025-04-20T02:29:39"/>
    <x v="3"/>
    <x v="4"/>
    <x v="0"/>
    <n v="2"/>
    <x v="0"/>
  </r>
  <r>
    <n v="3982"/>
    <s v="Nancy Shields"/>
    <x v="6"/>
    <x v="2"/>
    <n v="4"/>
    <n v="21.02"/>
    <s v="Premium"/>
    <n v="12.612"/>
    <n v="84.08"/>
    <n v="71.468000000000004"/>
    <n v="0.85000000000000009"/>
    <x v="2"/>
    <d v="2025-04-20T11:23:52"/>
    <d v="2025-04-20T11:23:52"/>
    <x v="3"/>
    <x v="4"/>
    <x v="0"/>
    <n v="11"/>
    <x v="0"/>
  </r>
  <r>
    <n v="9276"/>
    <s v="Alison Smith"/>
    <x v="3"/>
    <x v="2"/>
    <n v="4"/>
    <n v="21.35"/>
    <s v="Premium"/>
    <n v="12.81"/>
    <n v="85.4"/>
    <n v="72.59"/>
    <n v="0.85"/>
    <x v="2"/>
    <d v="2025-04-20T11:28:39"/>
    <d v="2025-04-20T11:28:39"/>
    <x v="3"/>
    <x v="4"/>
    <x v="0"/>
    <n v="11"/>
    <x v="0"/>
  </r>
  <r>
    <n v="6626"/>
    <s v="Robert Campbell"/>
    <x v="3"/>
    <x v="2"/>
    <n v="1"/>
    <n v="21.57"/>
    <s v="Premium"/>
    <n v="12.942"/>
    <n v="21.57"/>
    <n v="8.6280000000000001"/>
    <n v="0.4"/>
    <x v="0"/>
    <d v="2025-04-20T13:58:42"/>
    <d v="2025-04-20T13:58:42"/>
    <x v="3"/>
    <x v="4"/>
    <x v="0"/>
    <n v="13"/>
    <x v="1"/>
  </r>
  <r>
    <n v="9772"/>
    <s v="Cody Gonzalez"/>
    <x v="5"/>
    <x v="1"/>
    <n v="5"/>
    <n v="2.81"/>
    <s v="Budget"/>
    <n v="1.6859999999999999"/>
    <n v="14.05"/>
    <n v="12.364000000000001"/>
    <n v="0.88"/>
    <x v="2"/>
    <d v="2025-04-20T18:49:39"/>
    <d v="2025-04-20T18:49:39"/>
    <x v="3"/>
    <x v="4"/>
    <x v="0"/>
    <n v="18"/>
    <x v="2"/>
  </r>
  <r>
    <n v="4959"/>
    <s v="Jennifer Pearson"/>
    <x v="3"/>
    <x v="2"/>
    <n v="3"/>
    <n v="11.61"/>
    <s v="Mid-Range"/>
    <n v="6.9659999999999993"/>
    <n v="34.83"/>
    <n v="27.863999999999997"/>
    <n v="0.79999999999999993"/>
    <x v="0"/>
    <d v="2025-04-20T22:52:11"/>
    <d v="2025-04-20T22:52:11"/>
    <x v="3"/>
    <x v="4"/>
    <x v="0"/>
    <n v="22"/>
    <x v="2"/>
  </r>
  <r>
    <n v="7965"/>
    <s v="Timothy Thomas"/>
    <x v="4"/>
    <x v="1"/>
    <n v="5"/>
    <n v="6.64"/>
    <s v="Budget"/>
    <n v="3.9839999999999995"/>
    <n v="33.199999999999996"/>
    <n v="29.215999999999998"/>
    <n v="0.88"/>
    <x v="1"/>
    <d v="2025-04-22T00:59:45"/>
    <d v="2025-04-22T00:59:45"/>
    <x v="3"/>
    <x v="5"/>
    <x v="0"/>
    <n v="0"/>
    <x v="0"/>
  </r>
  <r>
    <n v="4390"/>
    <s v="Thomas Frazier"/>
    <x v="7"/>
    <x v="0"/>
    <n v="1"/>
    <n v="4.84"/>
    <s v="Budget"/>
    <n v="2.9039999999999999"/>
    <n v="4.84"/>
    <n v="1.9359999999999999"/>
    <n v="0.4"/>
    <x v="0"/>
    <d v="2025-04-22T02:38:14"/>
    <d v="2025-04-22T02:38:14"/>
    <x v="3"/>
    <x v="5"/>
    <x v="0"/>
    <n v="2"/>
    <x v="0"/>
  </r>
  <r>
    <n v="8612"/>
    <s v="Dillon Church"/>
    <x v="2"/>
    <x v="2"/>
    <n v="4"/>
    <n v="6.95"/>
    <s v="Budget"/>
    <n v="4.17"/>
    <n v="27.8"/>
    <n v="23.630000000000003"/>
    <n v="0.85000000000000009"/>
    <x v="3"/>
    <d v="2025-04-22T09:03:09"/>
    <d v="2025-04-22T09:03:09"/>
    <x v="3"/>
    <x v="5"/>
    <x v="0"/>
    <n v="9"/>
    <x v="0"/>
  </r>
  <r>
    <n v="8544"/>
    <s v="Melissa Ballard"/>
    <x v="1"/>
    <x v="1"/>
    <n v="2"/>
    <n v="6.19"/>
    <s v="Budget"/>
    <n v="3.714"/>
    <n v="12.38"/>
    <n v="8.6660000000000004"/>
    <n v="0.7"/>
    <x v="1"/>
    <d v="2025-04-22T14:02:08"/>
    <d v="2025-04-22T14:02:08"/>
    <x v="3"/>
    <x v="5"/>
    <x v="0"/>
    <n v="14"/>
    <x v="1"/>
  </r>
  <r>
    <n v="2857"/>
    <s v="Aaron Bruce"/>
    <x v="3"/>
    <x v="2"/>
    <n v="4"/>
    <n v="4.72"/>
    <s v="Budget"/>
    <n v="2.8319999999999999"/>
    <n v="18.88"/>
    <n v="16.047999999999998"/>
    <n v="0.85"/>
    <x v="2"/>
    <d v="2025-04-22T19:43:14"/>
    <d v="2025-04-22T19:43:14"/>
    <x v="3"/>
    <x v="5"/>
    <x v="0"/>
    <n v="19"/>
    <x v="2"/>
  </r>
  <r>
    <n v="9737"/>
    <s v="Daniel Fowler"/>
    <x v="3"/>
    <x v="2"/>
    <n v="1"/>
    <n v="9.07"/>
    <s v="Budget"/>
    <n v="5.4420000000000002"/>
    <n v="9.07"/>
    <n v="3.6280000000000001"/>
    <n v="0.4"/>
    <x v="3"/>
    <d v="2025-04-23T06:37:04"/>
    <d v="2025-04-23T06:37:04"/>
    <x v="3"/>
    <x v="0"/>
    <x v="0"/>
    <n v="6"/>
    <x v="0"/>
  </r>
  <r>
    <n v="4827"/>
    <s v="Jason Newman"/>
    <x v="6"/>
    <x v="2"/>
    <n v="2"/>
    <n v="13.38"/>
    <s v="Mid-Range"/>
    <n v="8.0280000000000005"/>
    <n v="26.76"/>
    <n v="18.731999999999999"/>
    <n v="0.7"/>
    <x v="2"/>
    <d v="2025-04-23T19:18:32"/>
    <d v="2025-04-23T19:18:32"/>
    <x v="3"/>
    <x v="0"/>
    <x v="0"/>
    <n v="19"/>
    <x v="2"/>
  </r>
  <r>
    <n v="7981"/>
    <s v="Wesley Jimenez"/>
    <x v="2"/>
    <x v="2"/>
    <n v="5"/>
    <n v="9.07"/>
    <s v="Budget"/>
    <n v="5.4420000000000002"/>
    <n v="45.35"/>
    <n v="39.908000000000001"/>
    <n v="0.88"/>
    <x v="3"/>
    <d v="2025-04-24T00:36:36"/>
    <d v="2025-04-24T00:36:36"/>
    <x v="3"/>
    <x v="1"/>
    <x v="0"/>
    <n v="0"/>
    <x v="0"/>
  </r>
  <r>
    <n v="4060"/>
    <s v="Emily Jackson"/>
    <x v="1"/>
    <x v="1"/>
    <n v="4"/>
    <n v="13.71"/>
    <s v="Mid-Range"/>
    <n v="8.2260000000000009"/>
    <n v="54.84"/>
    <n v="46.614000000000004"/>
    <n v="0.85"/>
    <x v="1"/>
    <d v="2025-04-24T05:16:33"/>
    <d v="2025-04-24T05:16:33"/>
    <x v="3"/>
    <x v="1"/>
    <x v="0"/>
    <n v="5"/>
    <x v="0"/>
  </r>
  <r>
    <n v="4002"/>
    <s v="Patrick Hammond"/>
    <x v="1"/>
    <x v="1"/>
    <n v="4"/>
    <n v="12.85"/>
    <s v="Mid-Range"/>
    <n v="7.7099999999999991"/>
    <n v="51.4"/>
    <n v="43.69"/>
    <n v="0.85"/>
    <x v="3"/>
    <d v="2025-04-24T09:40:02"/>
    <d v="2025-04-24T09:40:02"/>
    <x v="3"/>
    <x v="1"/>
    <x v="0"/>
    <n v="9"/>
    <x v="0"/>
  </r>
  <r>
    <n v="7930"/>
    <s v="Amanda Mcfarland"/>
    <x v="5"/>
    <x v="1"/>
    <n v="3"/>
    <n v="15.07"/>
    <s v="Mid-Range"/>
    <n v="9.0419999999999998"/>
    <n v="45.21"/>
    <n v="36.167999999999999"/>
    <n v="0.79999999999999993"/>
    <x v="0"/>
    <d v="2025-04-24T12:27:11"/>
    <d v="2025-04-24T12:27:11"/>
    <x v="3"/>
    <x v="1"/>
    <x v="0"/>
    <n v="12"/>
    <x v="1"/>
  </r>
  <r>
    <n v="3188"/>
    <s v="Jonathan Jones"/>
    <x v="6"/>
    <x v="2"/>
    <n v="4"/>
    <n v="11.67"/>
    <s v="Mid-Range"/>
    <n v="7.0019999999999998"/>
    <n v="46.68"/>
    <n v="39.677999999999997"/>
    <n v="0.85"/>
    <x v="2"/>
    <d v="2025-04-24T14:37:23"/>
    <d v="2025-04-24T14:37:23"/>
    <x v="3"/>
    <x v="1"/>
    <x v="0"/>
    <n v="14"/>
    <x v="1"/>
  </r>
  <r>
    <n v="3769"/>
    <s v="Jason Morgan"/>
    <x v="5"/>
    <x v="1"/>
    <n v="1"/>
    <n v="20.54"/>
    <s v="Premium"/>
    <n v="12.324"/>
    <n v="20.54"/>
    <n v="8.2159999999999993"/>
    <n v="0.39999999999999997"/>
    <x v="2"/>
    <d v="2025-04-26T16:42:34"/>
    <d v="2025-04-26T16:42:34"/>
    <x v="3"/>
    <x v="3"/>
    <x v="1"/>
    <n v="16"/>
    <x v="1"/>
  </r>
  <r>
    <n v="1595"/>
    <s v="Thomas Pineda"/>
    <x v="4"/>
    <x v="1"/>
    <n v="5"/>
    <n v="19.21"/>
    <s v="Mid-Range"/>
    <n v="11.526"/>
    <n v="96.050000000000011"/>
    <n v="84.524000000000015"/>
    <n v="0.88"/>
    <x v="0"/>
    <d v="2025-04-27T08:08:06"/>
    <d v="2025-04-27T08:08:06"/>
    <x v="3"/>
    <x v="4"/>
    <x v="0"/>
    <n v="8"/>
    <x v="0"/>
  </r>
  <r>
    <n v="5509"/>
    <s v="Jason Rocha"/>
    <x v="7"/>
    <x v="0"/>
    <n v="3"/>
    <n v="17.18"/>
    <s v="Mid-Range"/>
    <n v="10.308"/>
    <n v="51.54"/>
    <n v="41.231999999999999"/>
    <n v="0.8"/>
    <x v="3"/>
    <d v="2025-04-27T11:43:51"/>
    <d v="2025-04-27T11:43:51"/>
    <x v="3"/>
    <x v="4"/>
    <x v="0"/>
    <n v="11"/>
    <x v="0"/>
  </r>
  <r>
    <n v="7240"/>
    <s v="Patricia Smith"/>
    <x v="1"/>
    <x v="1"/>
    <n v="4"/>
    <n v="19.190000000000001"/>
    <s v="Mid-Range"/>
    <n v="11.514000000000001"/>
    <n v="76.760000000000005"/>
    <n v="65.246000000000009"/>
    <n v="0.85000000000000009"/>
    <x v="1"/>
    <d v="2025-04-27T20:03:06"/>
    <d v="2025-04-27T20:03:06"/>
    <x v="3"/>
    <x v="4"/>
    <x v="0"/>
    <n v="20"/>
    <x v="2"/>
  </r>
  <r>
    <n v="4718"/>
    <s v="James Rose"/>
    <x v="7"/>
    <x v="0"/>
    <n v="1"/>
    <n v="5.1100000000000003"/>
    <s v="Budget"/>
    <n v="3.0660000000000003"/>
    <n v="5.1100000000000003"/>
    <n v="2.044"/>
    <n v="0.39999999999999997"/>
    <x v="3"/>
    <d v="2025-04-28T03:34:16"/>
    <d v="2025-04-28T03:34:16"/>
    <x v="3"/>
    <x v="6"/>
    <x v="0"/>
    <n v="3"/>
    <x v="0"/>
  </r>
  <r>
    <n v="8018"/>
    <s v="Johnny Dennis"/>
    <x v="0"/>
    <x v="0"/>
    <n v="5"/>
    <n v="11.79"/>
    <s v="Mid-Range"/>
    <n v="7.073999999999999"/>
    <n v="58.949999999999996"/>
    <n v="51.875999999999998"/>
    <n v="0.88"/>
    <x v="2"/>
    <d v="2025-04-28T08:09:19"/>
    <d v="2025-04-28T08:09:19"/>
    <x v="3"/>
    <x v="6"/>
    <x v="0"/>
    <n v="8"/>
    <x v="0"/>
  </r>
  <r>
    <n v="5409"/>
    <s v="Heidi Boyle"/>
    <x v="1"/>
    <x v="1"/>
    <n v="5"/>
    <n v="4.7699999999999996"/>
    <s v="Budget"/>
    <n v="2.8619999999999997"/>
    <n v="23.849999999999998"/>
    <n v="20.988"/>
    <n v="0.88"/>
    <x v="0"/>
    <d v="2025-04-28T08:32:14"/>
    <d v="2025-04-28T08:32:14"/>
    <x v="3"/>
    <x v="6"/>
    <x v="0"/>
    <n v="8"/>
    <x v="0"/>
  </r>
  <r>
    <n v="7476"/>
    <s v="William Cross"/>
    <x v="3"/>
    <x v="2"/>
    <n v="4"/>
    <n v="22.46"/>
    <s v="Premium"/>
    <n v="13.476000000000001"/>
    <n v="89.84"/>
    <n v="76.364000000000004"/>
    <n v="0.85"/>
    <x v="0"/>
    <d v="2025-04-28T20:25:12"/>
    <d v="2025-04-28T20:25:12"/>
    <x v="3"/>
    <x v="6"/>
    <x v="0"/>
    <n v="20"/>
    <x v="2"/>
  </r>
  <r>
    <n v="1708"/>
    <s v="Daniel Flores"/>
    <x v="0"/>
    <x v="0"/>
    <n v="1"/>
    <n v="8.1300000000000008"/>
    <s v="Budget"/>
    <n v="4.8780000000000001"/>
    <n v="8.1300000000000008"/>
    <n v="3.2520000000000007"/>
    <n v="0.4"/>
    <x v="1"/>
    <d v="2025-04-29T09:53:53"/>
    <d v="2025-04-29T09:53:53"/>
    <x v="3"/>
    <x v="5"/>
    <x v="0"/>
    <n v="9"/>
    <x v="0"/>
  </r>
  <r>
    <n v="1947"/>
    <s v="Jeffrey Roberts"/>
    <x v="7"/>
    <x v="0"/>
    <n v="1"/>
    <n v="12.15"/>
    <s v="Mid-Range"/>
    <n v="7.29"/>
    <n v="12.15"/>
    <n v="4.8600000000000003"/>
    <n v="0.4"/>
    <x v="1"/>
    <d v="2025-04-29T10:32:01"/>
    <d v="2025-04-29T10:32:01"/>
    <x v="3"/>
    <x v="5"/>
    <x v="0"/>
    <n v="10"/>
    <x v="0"/>
  </r>
  <r>
    <n v="7489"/>
    <s v="Lisa Franklin"/>
    <x v="3"/>
    <x v="2"/>
    <n v="4"/>
    <n v="22.14"/>
    <s v="Premium"/>
    <n v="13.284000000000001"/>
    <n v="88.56"/>
    <n v="75.275999999999996"/>
    <n v="0.85"/>
    <x v="3"/>
    <d v="2025-04-29T12:51:10"/>
    <d v="2025-04-29T12:51:10"/>
    <x v="3"/>
    <x v="5"/>
    <x v="0"/>
    <n v="12"/>
    <x v="1"/>
  </r>
  <r>
    <n v="1263"/>
    <s v="Mike Blackwell"/>
    <x v="7"/>
    <x v="0"/>
    <n v="1"/>
    <n v="19.62"/>
    <s v="Mid-Range"/>
    <n v="11.772"/>
    <n v="19.62"/>
    <n v="7.8480000000000008"/>
    <n v="0.4"/>
    <x v="1"/>
    <d v="2025-04-29T19:17:22"/>
    <d v="2025-04-29T19:17:22"/>
    <x v="3"/>
    <x v="5"/>
    <x v="0"/>
    <n v="19"/>
    <x v="2"/>
  </r>
  <r>
    <n v="2795"/>
    <s v="Ashley Poole"/>
    <x v="1"/>
    <x v="1"/>
    <n v="1"/>
    <n v="4.5999999999999996"/>
    <s v="Budget"/>
    <n v="2.76"/>
    <n v="4.5999999999999996"/>
    <n v="1.8399999999999999"/>
    <n v="0.4"/>
    <x v="0"/>
    <d v="2025-04-30T03:41:31"/>
    <d v="2025-04-30T03:41:31"/>
    <x v="3"/>
    <x v="0"/>
    <x v="0"/>
    <n v="3"/>
    <x v="0"/>
  </r>
  <r>
    <n v="9913"/>
    <s v="Kevin Walker"/>
    <x v="2"/>
    <x v="2"/>
    <n v="2"/>
    <n v="18.8"/>
    <s v="Mid-Range"/>
    <n v="11.28"/>
    <n v="37.6"/>
    <n v="26.32"/>
    <n v="0.7"/>
    <x v="2"/>
    <d v="2025-04-30T05:04:46"/>
    <d v="2025-04-30T05:04:46"/>
    <x v="3"/>
    <x v="0"/>
    <x v="0"/>
    <n v="5"/>
    <x v="0"/>
  </r>
  <r>
    <n v="4902"/>
    <s v="Elizabeth Blake MD"/>
    <x v="7"/>
    <x v="0"/>
    <n v="5"/>
    <n v="5.38"/>
    <s v="Budget"/>
    <n v="3.2279999999999998"/>
    <n v="26.9"/>
    <n v="23.671999999999997"/>
    <n v="0.87999999999999989"/>
    <x v="2"/>
    <d v="2025-04-30T09:21:28"/>
    <d v="2025-04-30T09:21:28"/>
    <x v="3"/>
    <x v="0"/>
    <x v="0"/>
    <n v="9"/>
    <x v="0"/>
  </r>
  <r>
    <n v="1878"/>
    <s v="Diana Fry"/>
    <x v="7"/>
    <x v="0"/>
    <n v="2"/>
    <n v="24.7"/>
    <s v="Premium"/>
    <n v="14.819999999999999"/>
    <n v="49.4"/>
    <n v="34.58"/>
    <n v="0.7"/>
    <x v="2"/>
    <d v="2025-04-30T21:17:26"/>
    <d v="2025-04-30T21:17:26"/>
    <x v="3"/>
    <x v="0"/>
    <x v="0"/>
    <n v="21"/>
    <x v="2"/>
  </r>
  <r>
    <n v="4142"/>
    <s v="Matthew Perry"/>
    <x v="1"/>
    <x v="1"/>
    <n v="2"/>
    <n v="4.37"/>
    <s v="Budget"/>
    <n v="2.6219999999999999"/>
    <n v="8.74"/>
    <n v="6.1180000000000003"/>
    <n v="0.70000000000000007"/>
    <x v="1"/>
    <d v="2025-05-01T01:41:15"/>
    <d v="2025-05-01T01:41:15"/>
    <x v="4"/>
    <x v="1"/>
    <x v="0"/>
    <n v="1"/>
    <x v="0"/>
  </r>
  <r>
    <n v="2647"/>
    <s v="Jennifer Snyder"/>
    <x v="2"/>
    <x v="2"/>
    <n v="4"/>
    <n v="21.58"/>
    <s v="Premium"/>
    <n v="12.947999999999999"/>
    <n v="86.32"/>
    <n v="73.372"/>
    <n v="0.85000000000000009"/>
    <x v="2"/>
    <d v="2025-05-01T12:21:57"/>
    <d v="2025-05-01T12:21:57"/>
    <x v="4"/>
    <x v="1"/>
    <x v="0"/>
    <n v="12"/>
    <x v="1"/>
  </r>
  <r>
    <n v="9855"/>
    <s v="Anthony Robinson"/>
    <x v="5"/>
    <x v="1"/>
    <n v="5"/>
    <n v="3.58"/>
    <s v="Budget"/>
    <n v="2.1480000000000001"/>
    <n v="17.899999999999999"/>
    <n v="15.751999999999999"/>
    <n v="0.88"/>
    <x v="3"/>
    <d v="2025-05-02T07:51:07"/>
    <d v="2025-05-02T07:51:07"/>
    <x v="4"/>
    <x v="2"/>
    <x v="1"/>
    <n v="7"/>
    <x v="0"/>
  </r>
  <r>
    <n v="5416"/>
    <s v="Casey Gonzalez"/>
    <x v="5"/>
    <x v="1"/>
    <n v="4"/>
    <n v="12.91"/>
    <s v="Mid-Range"/>
    <n v="7.7459999999999996"/>
    <n v="51.64"/>
    <n v="43.893999999999998"/>
    <n v="0.85"/>
    <x v="1"/>
    <d v="2025-05-03T05:15:06"/>
    <d v="2025-05-03T05:15:06"/>
    <x v="4"/>
    <x v="3"/>
    <x v="1"/>
    <n v="5"/>
    <x v="0"/>
  </r>
  <r>
    <n v="1616"/>
    <s v="Bruce Chambers"/>
    <x v="4"/>
    <x v="1"/>
    <n v="2"/>
    <n v="16.45"/>
    <s v="Mid-Range"/>
    <n v="9.8699999999999992"/>
    <n v="32.9"/>
    <n v="23.03"/>
    <n v="0.70000000000000007"/>
    <x v="3"/>
    <d v="2025-05-03T14:33:30"/>
    <d v="2025-05-03T14:33:30"/>
    <x v="4"/>
    <x v="3"/>
    <x v="1"/>
    <n v="14"/>
    <x v="1"/>
  </r>
  <r>
    <n v="3312"/>
    <s v="Darrell Wolfe"/>
    <x v="2"/>
    <x v="2"/>
    <n v="2"/>
    <n v="21.63"/>
    <s v="Premium"/>
    <n v="12.978"/>
    <n v="43.26"/>
    <n v="30.281999999999996"/>
    <n v="0.7"/>
    <x v="1"/>
    <d v="2025-05-03T15:11:37"/>
    <d v="2025-05-03T15:11:37"/>
    <x v="4"/>
    <x v="3"/>
    <x v="1"/>
    <n v="15"/>
    <x v="1"/>
  </r>
  <r>
    <n v="5460"/>
    <s v="Amy Brown"/>
    <x v="7"/>
    <x v="0"/>
    <n v="5"/>
    <n v="9.58"/>
    <s v="Budget"/>
    <n v="5.7480000000000002"/>
    <n v="47.9"/>
    <n v="42.152000000000001"/>
    <n v="0.88"/>
    <x v="3"/>
    <d v="2025-05-03T18:38:26"/>
    <d v="2025-05-03T18:38:26"/>
    <x v="4"/>
    <x v="3"/>
    <x v="1"/>
    <n v="18"/>
    <x v="2"/>
  </r>
  <r>
    <n v="3164"/>
    <s v="Michael Woodward"/>
    <x v="1"/>
    <x v="1"/>
    <n v="3"/>
    <n v="14.01"/>
    <s v="Mid-Range"/>
    <n v="8.4059999999999988"/>
    <n v="42.03"/>
    <n v="33.624000000000002"/>
    <n v="0.8"/>
    <x v="2"/>
    <d v="2025-05-04T03:28:04"/>
    <d v="2025-05-04T03:28:04"/>
    <x v="4"/>
    <x v="4"/>
    <x v="0"/>
    <n v="3"/>
    <x v="0"/>
  </r>
  <r>
    <n v="8996"/>
    <s v="Cassandra Alexander"/>
    <x v="2"/>
    <x v="2"/>
    <n v="4"/>
    <n v="7.58"/>
    <s v="Budget"/>
    <n v="4.548"/>
    <n v="30.32"/>
    <n v="25.771999999999998"/>
    <n v="0.85"/>
    <x v="0"/>
    <d v="2025-05-04T07:28:26"/>
    <d v="2025-05-04T07:28:26"/>
    <x v="4"/>
    <x v="4"/>
    <x v="0"/>
    <n v="7"/>
    <x v="0"/>
  </r>
  <r>
    <n v="5614"/>
    <s v="Elizabeth Jones"/>
    <x v="7"/>
    <x v="0"/>
    <n v="5"/>
    <n v="8.86"/>
    <s v="Budget"/>
    <n v="5.3159999999999998"/>
    <n v="44.3"/>
    <n v="38.983999999999995"/>
    <n v="0.87999999999999989"/>
    <x v="0"/>
    <d v="2025-05-04T09:08:25"/>
    <d v="2025-05-04T09:08:25"/>
    <x v="4"/>
    <x v="4"/>
    <x v="0"/>
    <n v="9"/>
    <x v="0"/>
  </r>
  <r>
    <n v="2430"/>
    <s v="Stephanie Ortega"/>
    <x v="4"/>
    <x v="1"/>
    <n v="1"/>
    <n v="10.69"/>
    <s v="Mid-Range"/>
    <n v="6.4139999999999997"/>
    <n v="10.69"/>
    <n v="4.2759999999999998"/>
    <n v="0.4"/>
    <x v="2"/>
    <d v="2025-05-04T11:36:34"/>
    <d v="2025-05-04T11:36:34"/>
    <x v="4"/>
    <x v="4"/>
    <x v="0"/>
    <n v="11"/>
    <x v="0"/>
  </r>
  <r>
    <n v="4837"/>
    <s v="Mark Campbell"/>
    <x v="3"/>
    <x v="2"/>
    <n v="4"/>
    <n v="17.71"/>
    <s v="Mid-Range"/>
    <n v="10.625999999999999"/>
    <n v="70.84"/>
    <n v="60.214000000000006"/>
    <n v="0.85000000000000009"/>
    <x v="2"/>
    <d v="2025-05-04T13:34:04"/>
    <d v="2025-05-04T13:34:04"/>
    <x v="4"/>
    <x v="4"/>
    <x v="0"/>
    <n v="13"/>
    <x v="1"/>
  </r>
  <r>
    <n v="2047"/>
    <s v="Miguel Mendoza"/>
    <x v="1"/>
    <x v="1"/>
    <n v="2"/>
    <n v="4.24"/>
    <s v="Budget"/>
    <n v="2.544"/>
    <n v="8.48"/>
    <n v="5.9359999999999999"/>
    <n v="0.7"/>
    <x v="3"/>
    <d v="2025-05-05T04:18:27"/>
    <d v="2025-05-05T04:18:27"/>
    <x v="4"/>
    <x v="6"/>
    <x v="0"/>
    <n v="4"/>
    <x v="0"/>
  </r>
  <r>
    <n v="4626"/>
    <s v="George Smith"/>
    <x v="2"/>
    <x v="2"/>
    <n v="3"/>
    <n v="3.44"/>
    <s v="Budget"/>
    <n v="2.0640000000000001"/>
    <n v="10.32"/>
    <n v="8.2560000000000002"/>
    <n v="0.8"/>
    <x v="3"/>
    <d v="2025-05-05T08:56:44"/>
    <d v="2025-05-05T08:56:44"/>
    <x v="4"/>
    <x v="6"/>
    <x v="0"/>
    <n v="8"/>
    <x v="0"/>
  </r>
  <r>
    <n v="6353"/>
    <s v="James Barber"/>
    <x v="5"/>
    <x v="1"/>
    <n v="1"/>
    <n v="19.989999999999998"/>
    <s v="Mid-Range"/>
    <n v="11.993999999999998"/>
    <n v="19.989999999999998"/>
    <n v="7.9960000000000004"/>
    <n v="0.40000000000000008"/>
    <x v="2"/>
    <d v="2025-05-05T20:34:34"/>
    <d v="2025-05-05T20:34:34"/>
    <x v="4"/>
    <x v="6"/>
    <x v="0"/>
    <n v="20"/>
    <x v="2"/>
  </r>
  <r>
    <n v="9562"/>
    <s v="Brian Wood"/>
    <x v="4"/>
    <x v="1"/>
    <n v="1"/>
    <n v="4.1900000000000004"/>
    <s v="Budget"/>
    <n v="2.5140000000000002"/>
    <n v="4.1900000000000004"/>
    <n v="1.6760000000000002"/>
    <n v="0.4"/>
    <x v="1"/>
    <d v="2025-05-07T03:09:47"/>
    <d v="2025-05-07T03:09:47"/>
    <x v="4"/>
    <x v="0"/>
    <x v="0"/>
    <n v="3"/>
    <x v="0"/>
  </r>
  <r>
    <n v="5982"/>
    <s v="Regina Gill"/>
    <x v="1"/>
    <x v="1"/>
    <n v="3"/>
    <n v="17.100000000000001"/>
    <s v="Mid-Range"/>
    <n v="10.26"/>
    <n v="51.300000000000004"/>
    <n v="41.040000000000006"/>
    <n v="0.8"/>
    <x v="0"/>
    <d v="2025-05-07T08:42:03"/>
    <d v="2025-05-07T08:42:03"/>
    <x v="4"/>
    <x v="0"/>
    <x v="0"/>
    <n v="8"/>
    <x v="0"/>
  </r>
  <r>
    <n v="7314"/>
    <s v="Justin Powell"/>
    <x v="7"/>
    <x v="0"/>
    <n v="2"/>
    <n v="9.1300000000000008"/>
    <s v="Budget"/>
    <n v="5.4780000000000006"/>
    <n v="18.260000000000002"/>
    <n v="12.782"/>
    <n v="0.7"/>
    <x v="0"/>
    <d v="2025-05-07T18:24:56"/>
    <d v="2025-05-07T18:24:56"/>
    <x v="4"/>
    <x v="0"/>
    <x v="0"/>
    <n v="18"/>
    <x v="2"/>
  </r>
  <r>
    <n v="7570"/>
    <s v="Larry Santiago"/>
    <x v="0"/>
    <x v="0"/>
    <n v="4"/>
    <n v="21.01"/>
    <s v="Premium"/>
    <n v="12.606"/>
    <n v="84.04"/>
    <n v="71.434000000000012"/>
    <n v="0.85000000000000009"/>
    <x v="2"/>
    <d v="2025-05-08T12:15:52"/>
    <d v="2025-05-08T12:15:52"/>
    <x v="4"/>
    <x v="1"/>
    <x v="0"/>
    <n v="12"/>
    <x v="1"/>
  </r>
  <r>
    <n v="8824"/>
    <s v="Diane Perez"/>
    <x v="0"/>
    <x v="0"/>
    <n v="4"/>
    <n v="4.68"/>
    <s v="Budget"/>
    <n v="2.8079999999999998"/>
    <n v="18.72"/>
    <n v="15.911999999999999"/>
    <n v="0.85"/>
    <x v="0"/>
    <d v="2025-05-08T13:37:54"/>
    <d v="2025-05-08T13:37:54"/>
    <x v="4"/>
    <x v="1"/>
    <x v="0"/>
    <n v="13"/>
    <x v="1"/>
  </r>
  <r>
    <n v="8255"/>
    <s v="Kimberly Barnett"/>
    <x v="8"/>
    <x v="0"/>
    <n v="5"/>
    <n v="20.85"/>
    <s v="Premium"/>
    <n v="12.51"/>
    <n v="104.25"/>
    <n v="91.74"/>
    <n v="0.88"/>
    <x v="3"/>
    <d v="2025-05-09T05:01:15"/>
    <d v="2025-05-09T05:01:15"/>
    <x v="4"/>
    <x v="2"/>
    <x v="1"/>
    <n v="5"/>
    <x v="0"/>
  </r>
  <r>
    <n v="4055"/>
    <s v="Shannon Young"/>
    <x v="3"/>
    <x v="2"/>
    <n v="1"/>
    <n v="10.79"/>
    <s v="Mid-Range"/>
    <n v="6.4739999999999993"/>
    <n v="10.79"/>
    <n v="4.3159999999999998"/>
    <n v="0.4"/>
    <x v="3"/>
    <d v="2025-05-09T05:40:15"/>
    <d v="2025-05-09T05:40:15"/>
    <x v="4"/>
    <x v="2"/>
    <x v="1"/>
    <n v="5"/>
    <x v="0"/>
  </r>
  <r>
    <n v="5294"/>
    <s v="Christopher Romero"/>
    <x v="0"/>
    <x v="0"/>
    <n v="3"/>
    <n v="11.86"/>
    <s v="Mid-Range"/>
    <n v="7.1159999999999997"/>
    <n v="35.58"/>
    <n v="28.463999999999999"/>
    <n v="0.8"/>
    <x v="0"/>
    <d v="2025-05-09T14:13:25"/>
    <d v="2025-05-09T14:13:25"/>
    <x v="4"/>
    <x v="2"/>
    <x v="1"/>
    <n v="14"/>
    <x v="1"/>
  </r>
  <r>
    <n v="5103"/>
    <s v="Brian Hernandez"/>
    <x v="5"/>
    <x v="1"/>
    <n v="3"/>
    <n v="13.97"/>
    <s v="Mid-Range"/>
    <n v="8.3819999999999997"/>
    <n v="41.910000000000004"/>
    <n v="33.528000000000006"/>
    <n v="0.8"/>
    <x v="1"/>
    <d v="2025-05-09T18:52:06"/>
    <d v="2025-05-09T18:52:06"/>
    <x v="4"/>
    <x v="2"/>
    <x v="1"/>
    <n v="18"/>
    <x v="2"/>
  </r>
  <r>
    <n v="7004"/>
    <s v="Wanda Gould"/>
    <x v="8"/>
    <x v="0"/>
    <n v="3"/>
    <n v="12.29"/>
    <s v="Mid-Range"/>
    <n v="7.3739999999999988"/>
    <n v="36.869999999999997"/>
    <n v="29.495999999999999"/>
    <n v="0.8"/>
    <x v="1"/>
    <d v="2025-05-11T10:45:50"/>
    <d v="2025-05-11T10:45:50"/>
    <x v="4"/>
    <x v="4"/>
    <x v="0"/>
    <n v="10"/>
    <x v="0"/>
  </r>
  <r>
    <n v="1955"/>
    <s v="Derek Young"/>
    <x v="4"/>
    <x v="1"/>
    <n v="2"/>
    <n v="8.64"/>
    <s v="Budget"/>
    <n v="5.1840000000000002"/>
    <n v="17.28"/>
    <n v="12.096"/>
    <n v="0.7"/>
    <x v="1"/>
    <d v="2025-05-11T21:18:37"/>
    <d v="2025-05-11T21:18:37"/>
    <x v="4"/>
    <x v="4"/>
    <x v="0"/>
    <n v="21"/>
    <x v="2"/>
  </r>
  <r>
    <n v="1792"/>
    <s v="Michael Valentine"/>
    <x v="1"/>
    <x v="1"/>
    <n v="4"/>
    <n v="7.15"/>
    <s v="Budget"/>
    <n v="4.29"/>
    <n v="28.6"/>
    <n v="24.310000000000002"/>
    <n v="0.85000000000000009"/>
    <x v="2"/>
    <d v="2025-05-13T07:01:52"/>
    <d v="2025-05-13T07:01:52"/>
    <x v="4"/>
    <x v="5"/>
    <x v="0"/>
    <n v="7"/>
    <x v="0"/>
  </r>
  <r>
    <n v="9485"/>
    <s v="Brittany Craig"/>
    <x v="4"/>
    <x v="1"/>
    <n v="3"/>
    <n v="5.33"/>
    <s v="Budget"/>
    <n v="3.198"/>
    <n v="15.99"/>
    <n v="12.792"/>
    <n v="0.79999999999999993"/>
    <x v="1"/>
    <d v="2025-05-13T20:32:40"/>
    <d v="2025-05-13T20:32:40"/>
    <x v="4"/>
    <x v="5"/>
    <x v="0"/>
    <n v="20"/>
    <x v="2"/>
  </r>
  <r>
    <n v="7628"/>
    <s v="Jose Macias"/>
    <x v="0"/>
    <x v="0"/>
    <n v="2"/>
    <n v="22.54"/>
    <s v="Premium"/>
    <n v="13.523999999999999"/>
    <n v="45.08"/>
    <n v="31.555999999999997"/>
    <n v="0.7"/>
    <x v="3"/>
    <d v="2025-05-14T08:41:50"/>
    <d v="2025-05-14T08:41:50"/>
    <x v="4"/>
    <x v="0"/>
    <x v="0"/>
    <n v="8"/>
    <x v="0"/>
  </r>
  <r>
    <n v="9088"/>
    <s v="Charles Evans"/>
    <x v="6"/>
    <x v="2"/>
    <n v="3"/>
    <n v="3.33"/>
    <s v="Budget"/>
    <n v="1.998"/>
    <n v="9.99"/>
    <n v="7.992"/>
    <n v="0.79999999999999993"/>
    <x v="1"/>
    <d v="2025-05-15T11:37:30"/>
    <d v="2025-05-15T11:37:30"/>
    <x v="4"/>
    <x v="1"/>
    <x v="0"/>
    <n v="11"/>
    <x v="0"/>
  </r>
  <r>
    <n v="1272"/>
    <s v="Michael Matthews"/>
    <x v="8"/>
    <x v="0"/>
    <n v="5"/>
    <n v="2.2000000000000002"/>
    <s v="Budget"/>
    <n v="1.32"/>
    <n v="11"/>
    <n v="9.68"/>
    <n v="0.88"/>
    <x v="1"/>
    <d v="2025-05-15T12:43:45"/>
    <d v="2025-05-15T12:43:45"/>
    <x v="4"/>
    <x v="1"/>
    <x v="0"/>
    <n v="12"/>
    <x v="1"/>
  </r>
  <r>
    <n v="9271"/>
    <s v="Jennifer Barron"/>
    <x v="3"/>
    <x v="2"/>
    <n v="1"/>
    <n v="7.31"/>
    <s v="Budget"/>
    <n v="4.3859999999999992"/>
    <n v="7.31"/>
    <n v="2.9240000000000004"/>
    <n v="0.40000000000000008"/>
    <x v="2"/>
    <d v="2025-05-15T13:59:45"/>
    <d v="2025-05-15T13:59:45"/>
    <x v="4"/>
    <x v="1"/>
    <x v="0"/>
    <n v="13"/>
    <x v="1"/>
  </r>
  <r>
    <n v="7479"/>
    <s v="Richard Brown"/>
    <x v="0"/>
    <x v="0"/>
    <n v="5"/>
    <n v="10.93"/>
    <s v="Mid-Range"/>
    <n v="6.5579999999999998"/>
    <n v="54.65"/>
    <n v="48.091999999999999"/>
    <n v="0.88"/>
    <x v="2"/>
    <d v="2025-05-15T19:57:46"/>
    <d v="2025-05-15T19:57:46"/>
    <x v="4"/>
    <x v="1"/>
    <x v="0"/>
    <n v="19"/>
    <x v="2"/>
  </r>
  <r>
    <n v="2330"/>
    <s v="Patricia Jenkins"/>
    <x v="1"/>
    <x v="1"/>
    <n v="1"/>
    <n v="10.11"/>
    <s v="Mid-Range"/>
    <n v="6.0659999999999998"/>
    <n v="10.11"/>
    <n v="4.0439999999999996"/>
    <n v="0.39999999999999997"/>
    <x v="1"/>
    <d v="2025-05-16T19:43:48"/>
    <d v="2025-05-16T19:43:48"/>
    <x v="4"/>
    <x v="2"/>
    <x v="1"/>
    <n v="19"/>
    <x v="2"/>
  </r>
  <r>
    <n v="6314"/>
    <s v="Amanda Mahoney"/>
    <x v="0"/>
    <x v="0"/>
    <n v="4"/>
    <n v="9.64"/>
    <s v="Budget"/>
    <n v="5.7839999999999998"/>
    <n v="38.56"/>
    <n v="32.776000000000003"/>
    <n v="0.85000000000000009"/>
    <x v="0"/>
    <d v="2025-05-17T01:26:05"/>
    <d v="2025-05-17T01:26:05"/>
    <x v="4"/>
    <x v="3"/>
    <x v="1"/>
    <n v="1"/>
    <x v="0"/>
  </r>
  <r>
    <n v="7768"/>
    <s v="Alexander Nielsen"/>
    <x v="0"/>
    <x v="0"/>
    <n v="2"/>
    <n v="9.17"/>
    <s v="Budget"/>
    <n v="5.5019999999999998"/>
    <n v="18.34"/>
    <n v="12.838000000000001"/>
    <n v="0.70000000000000007"/>
    <x v="1"/>
    <d v="2025-05-18T12:15:16"/>
    <d v="2025-05-18T12:15:16"/>
    <x v="4"/>
    <x v="4"/>
    <x v="0"/>
    <n v="12"/>
    <x v="1"/>
  </r>
  <r>
    <n v="2598"/>
    <s v="Kevin Meyer"/>
    <x v="4"/>
    <x v="1"/>
    <n v="3"/>
    <n v="2.2599999999999998"/>
    <s v="Budget"/>
    <n v="1.3559999999999999"/>
    <n v="6.7799999999999994"/>
    <n v="5.4239999999999995"/>
    <n v="0.8"/>
    <x v="0"/>
    <d v="2025-05-19T09:12:52"/>
    <d v="2025-05-19T09:12:52"/>
    <x v="4"/>
    <x v="6"/>
    <x v="0"/>
    <n v="9"/>
    <x v="0"/>
  </r>
  <r>
    <n v="2785"/>
    <s v="Tiffany Scott"/>
    <x v="8"/>
    <x v="0"/>
    <n v="4"/>
    <n v="23.84"/>
    <s v="Premium"/>
    <n v="14.304"/>
    <n v="95.36"/>
    <n v="81.055999999999997"/>
    <n v="0.85"/>
    <x v="1"/>
    <d v="2025-05-19T12:24:51"/>
    <d v="2025-05-19T12:24:51"/>
    <x v="4"/>
    <x v="6"/>
    <x v="0"/>
    <n v="12"/>
    <x v="1"/>
  </r>
  <r>
    <n v="6218"/>
    <s v="Preston Flynn"/>
    <x v="2"/>
    <x v="2"/>
    <n v="4"/>
    <n v="17.260000000000002"/>
    <s v="Mid-Range"/>
    <n v="10.356"/>
    <n v="69.040000000000006"/>
    <n v="58.684000000000005"/>
    <n v="0.85"/>
    <x v="3"/>
    <d v="2025-05-19T13:00:37"/>
    <d v="2025-05-19T13:00:37"/>
    <x v="4"/>
    <x v="6"/>
    <x v="0"/>
    <n v="13"/>
    <x v="1"/>
  </r>
  <r>
    <n v="6967"/>
    <s v="James Martinez"/>
    <x v="7"/>
    <x v="0"/>
    <n v="2"/>
    <n v="2.17"/>
    <s v="Budget"/>
    <n v="1.3019999999999998"/>
    <n v="4.34"/>
    <n v="3.0380000000000003"/>
    <n v="0.70000000000000007"/>
    <x v="2"/>
    <d v="2025-05-19T15:47:44"/>
    <d v="2025-05-19T15:47:44"/>
    <x v="4"/>
    <x v="6"/>
    <x v="0"/>
    <n v="15"/>
    <x v="1"/>
  </r>
  <r>
    <n v="6592"/>
    <s v="William Crane"/>
    <x v="2"/>
    <x v="2"/>
    <n v="1"/>
    <n v="8.8800000000000008"/>
    <s v="Budget"/>
    <n v="5.3280000000000003"/>
    <n v="8.8800000000000008"/>
    <n v="3.5520000000000005"/>
    <n v="0.4"/>
    <x v="1"/>
    <d v="2025-05-20T11:46:06"/>
    <d v="2025-05-20T11:46:06"/>
    <x v="4"/>
    <x v="5"/>
    <x v="0"/>
    <n v="11"/>
    <x v="0"/>
  </r>
  <r>
    <n v="6857"/>
    <s v="Mary Johnson"/>
    <x v="3"/>
    <x v="2"/>
    <n v="4"/>
    <n v="13.08"/>
    <s v="Mid-Range"/>
    <n v="7.8479999999999999"/>
    <n v="52.32"/>
    <n v="44.472000000000001"/>
    <n v="0.85"/>
    <x v="2"/>
    <d v="2025-05-20T12:34:58"/>
    <d v="2025-05-20T12:34:58"/>
    <x v="4"/>
    <x v="5"/>
    <x v="0"/>
    <n v="12"/>
    <x v="1"/>
  </r>
  <r>
    <n v="8664"/>
    <s v="Austin Cain"/>
    <x v="0"/>
    <x v="0"/>
    <n v="5"/>
    <n v="19.78"/>
    <s v="Mid-Range"/>
    <n v="11.868"/>
    <n v="98.9"/>
    <n v="87.032000000000011"/>
    <n v="0.88"/>
    <x v="2"/>
    <d v="2025-05-20T16:56:15"/>
    <d v="2025-05-20T16:56:15"/>
    <x v="4"/>
    <x v="5"/>
    <x v="0"/>
    <n v="16"/>
    <x v="1"/>
  </r>
  <r>
    <n v="5344"/>
    <s v="Alyssa Phillips"/>
    <x v="3"/>
    <x v="2"/>
    <n v="1"/>
    <n v="12.71"/>
    <s v="Mid-Range"/>
    <n v="7.6260000000000003"/>
    <n v="12.71"/>
    <n v="5.0840000000000005"/>
    <n v="0.4"/>
    <x v="1"/>
    <d v="2025-05-20T23:28:50"/>
    <d v="2025-05-20T23:28:50"/>
    <x v="4"/>
    <x v="5"/>
    <x v="0"/>
    <n v="23"/>
    <x v="2"/>
  </r>
  <r>
    <n v="9040"/>
    <s v="David Bailey"/>
    <x v="4"/>
    <x v="1"/>
    <n v="5"/>
    <n v="19.489999999999998"/>
    <s v="Mid-Range"/>
    <n v="11.693999999999999"/>
    <n v="97.449999999999989"/>
    <n v="85.755999999999986"/>
    <n v="0.88"/>
    <x v="0"/>
    <d v="2025-05-21T14:35:14"/>
    <d v="2025-05-21T14:35:14"/>
    <x v="4"/>
    <x v="0"/>
    <x v="0"/>
    <n v="14"/>
    <x v="1"/>
  </r>
  <r>
    <n v="2110"/>
    <s v="Tracey Perez"/>
    <x v="6"/>
    <x v="2"/>
    <n v="1"/>
    <n v="20"/>
    <s v="Premium"/>
    <n v="12"/>
    <n v="20"/>
    <n v="8"/>
    <n v="0.4"/>
    <x v="0"/>
    <d v="2025-05-21T21:54:55"/>
    <d v="2025-05-21T21:54:55"/>
    <x v="4"/>
    <x v="0"/>
    <x v="0"/>
    <n v="21"/>
    <x v="2"/>
  </r>
  <r>
    <n v="5924"/>
    <s v="Dustin Holt"/>
    <x v="3"/>
    <x v="2"/>
    <n v="3"/>
    <n v="3.84"/>
    <s v="Budget"/>
    <n v="2.3039999999999998"/>
    <n v="11.52"/>
    <n v="9.2159999999999993"/>
    <n v="0.79999999999999993"/>
    <x v="1"/>
    <d v="2025-05-22T04:02:15"/>
    <d v="2025-05-22T04:02:15"/>
    <x v="4"/>
    <x v="1"/>
    <x v="0"/>
    <n v="4"/>
    <x v="0"/>
  </r>
  <r>
    <n v="1815"/>
    <s v="Veronica Pitts"/>
    <x v="5"/>
    <x v="1"/>
    <n v="1"/>
    <n v="16.84"/>
    <s v="Mid-Range"/>
    <n v="10.103999999999999"/>
    <n v="16.84"/>
    <n v="6.7360000000000007"/>
    <n v="0.4"/>
    <x v="1"/>
    <d v="2025-05-22T14:10:37"/>
    <d v="2025-05-22T14:10:37"/>
    <x v="4"/>
    <x v="1"/>
    <x v="0"/>
    <n v="14"/>
    <x v="1"/>
  </r>
  <r>
    <n v="5411"/>
    <s v="Justin Howard"/>
    <x v="7"/>
    <x v="0"/>
    <n v="1"/>
    <n v="2.46"/>
    <s v="Budget"/>
    <n v="1.476"/>
    <n v="2.46"/>
    <n v="0.98399999999999999"/>
    <n v="0.4"/>
    <x v="1"/>
    <d v="2025-05-22T17:00:20"/>
    <d v="2025-05-22T17:00:20"/>
    <x v="4"/>
    <x v="1"/>
    <x v="0"/>
    <n v="17"/>
    <x v="1"/>
  </r>
  <r>
    <n v="3680"/>
    <s v="Lucas Santiago"/>
    <x v="5"/>
    <x v="1"/>
    <n v="4"/>
    <n v="24.79"/>
    <s v="Premium"/>
    <n v="14.873999999999999"/>
    <n v="99.16"/>
    <n v="84.286000000000001"/>
    <n v="0.85000000000000009"/>
    <x v="0"/>
    <d v="2025-05-22T19:51:58"/>
    <d v="2025-05-22T19:51:58"/>
    <x v="4"/>
    <x v="1"/>
    <x v="0"/>
    <n v="19"/>
    <x v="2"/>
  </r>
  <r>
    <n v="7824"/>
    <s v="Kimberly Gilbert"/>
    <x v="5"/>
    <x v="1"/>
    <n v="5"/>
    <n v="9.8800000000000008"/>
    <s v="Budget"/>
    <n v="5.9279999999999999"/>
    <n v="49.400000000000006"/>
    <n v="43.472000000000008"/>
    <n v="0.88000000000000012"/>
    <x v="0"/>
    <d v="2025-05-22T21:34:05"/>
    <d v="2025-05-22T21:34:05"/>
    <x v="4"/>
    <x v="1"/>
    <x v="0"/>
    <n v="21"/>
    <x v="2"/>
  </r>
  <r>
    <n v="8091"/>
    <s v="Lisa Mora"/>
    <x v="2"/>
    <x v="2"/>
    <n v="5"/>
    <n v="9.49"/>
    <s v="Budget"/>
    <n v="5.694"/>
    <n v="47.45"/>
    <n v="41.756"/>
    <n v="0.88"/>
    <x v="0"/>
    <d v="2025-05-23T04:28:08"/>
    <d v="2025-05-23T04:28:08"/>
    <x v="4"/>
    <x v="2"/>
    <x v="1"/>
    <n v="4"/>
    <x v="0"/>
  </r>
  <r>
    <n v="5831"/>
    <s v="Crystal Collier"/>
    <x v="3"/>
    <x v="2"/>
    <n v="1"/>
    <n v="6.23"/>
    <s v="Budget"/>
    <n v="3.738"/>
    <n v="6.23"/>
    <n v="2.4920000000000004"/>
    <n v="0.4"/>
    <x v="3"/>
    <d v="2025-05-24T08:50:22"/>
    <d v="2025-05-24T08:50:22"/>
    <x v="4"/>
    <x v="3"/>
    <x v="1"/>
    <n v="8"/>
    <x v="0"/>
  </r>
  <r>
    <n v="4013"/>
    <s v="Jessica Richmond"/>
    <x v="7"/>
    <x v="0"/>
    <n v="4"/>
    <n v="17.87"/>
    <s v="Mid-Range"/>
    <n v="10.722"/>
    <n v="71.48"/>
    <n v="60.758000000000003"/>
    <n v="0.85"/>
    <x v="2"/>
    <d v="2025-05-25T14:25:29"/>
    <d v="2025-05-25T14:25:29"/>
    <x v="4"/>
    <x v="4"/>
    <x v="0"/>
    <n v="14"/>
    <x v="1"/>
  </r>
  <r>
    <n v="2513"/>
    <s v="Anthony Wells"/>
    <x v="7"/>
    <x v="0"/>
    <n v="1"/>
    <n v="3.89"/>
    <s v="Budget"/>
    <n v="2.3340000000000001"/>
    <n v="3.89"/>
    <n v="1.556"/>
    <n v="0.4"/>
    <x v="1"/>
    <d v="2025-05-26T18:30:53"/>
    <d v="2025-05-26T18:30:53"/>
    <x v="4"/>
    <x v="6"/>
    <x v="0"/>
    <n v="18"/>
    <x v="2"/>
  </r>
  <r>
    <n v="4183"/>
    <s v="Teresa Garcia"/>
    <x v="7"/>
    <x v="0"/>
    <n v="2"/>
    <n v="7.16"/>
    <s v="Budget"/>
    <n v="4.2960000000000003"/>
    <n v="14.32"/>
    <n v="10.024000000000001"/>
    <n v="0.70000000000000007"/>
    <x v="3"/>
    <d v="2025-05-26T23:29:26"/>
    <d v="2025-05-26T23:29:26"/>
    <x v="4"/>
    <x v="6"/>
    <x v="0"/>
    <n v="23"/>
    <x v="2"/>
  </r>
  <r>
    <n v="5394"/>
    <s v="Lisa Jones"/>
    <x v="5"/>
    <x v="1"/>
    <n v="3"/>
    <n v="2.16"/>
    <s v="Budget"/>
    <n v="1.296"/>
    <n v="6.48"/>
    <n v="5.1840000000000002"/>
    <n v="0.79999999999999993"/>
    <x v="1"/>
    <d v="2025-05-27T19:19:46"/>
    <d v="2025-05-27T19:19:46"/>
    <x v="4"/>
    <x v="5"/>
    <x v="0"/>
    <n v="19"/>
    <x v="2"/>
  </r>
  <r>
    <n v="1496"/>
    <s v="David Ellis"/>
    <x v="2"/>
    <x v="2"/>
    <n v="5"/>
    <n v="20.81"/>
    <s v="Premium"/>
    <n v="12.485999999999999"/>
    <n v="104.05"/>
    <n v="91.563999999999993"/>
    <n v="0.88"/>
    <x v="3"/>
    <d v="2025-05-27T19:58:48"/>
    <d v="2025-05-27T19:58:48"/>
    <x v="4"/>
    <x v="5"/>
    <x v="0"/>
    <n v="19"/>
    <x v="2"/>
  </r>
  <r>
    <n v="9053"/>
    <s v="Thomas Hernandez"/>
    <x v="7"/>
    <x v="0"/>
    <n v="4"/>
    <n v="16.399999999999999"/>
    <s v="Mid-Range"/>
    <n v="9.8399999999999981"/>
    <n v="65.599999999999994"/>
    <n v="55.76"/>
    <n v="0.85000000000000009"/>
    <x v="0"/>
    <d v="2025-05-28T03:14:41"/>
    <d v="2025-05-28T03:14:41"/>
    <x v="4"/>
    <x v="0"/>
    <x v="0"/>
    <n v="3"/>
    <x v="0"/>
  </r>
  <r>
    <n v="9087"/>
    <s v="Benjamin Stark"/>
    <x v="5"/>
    <x v="1"/>
    <n v="1"/>
    <n v="5.68"/>
    <s v="Budget"/>
    <n v="3.4079999999999999"/>
    <n v="5.68"/>
    <n v="2.2719999999999998"/>
    <n v="0.39999999999999997"/>
    <x v="2"/>
    <d v="2025-05-28T05:50:50"/>
    <d v="2025-05-28T05:50:50"/>
    <x v="4"/>
    <x v="0"/>
    <x v="0"/>
    <n v="5"/>
    <x v="0"/>
  </r>
  <r>
    <n v="4011"/>
    <s v="Jamie Winters"/>
    <x v="7"/>
    <x v="0"/>
    <n v="1"/>
    <n v="6.17"/>
    <s v="Budget"/>
    <n v="3.702"/>
    <n v="6.17"/>
    <n v="2.468"/>
    <n v="0.4"/>
    <x v="3"/>
    <d v="2025-05-28T15:15:26"/>
    <d v="2025-05-28T15:15:26"/>
    <x v="4"/>
    <x v="0"/>
    <x v="0"/>
    <n v="15"/>
    <x v="1"/>
  </r>
  <r>
    <n v="8170"/>
    <s v="Anna Smith"/>
    <x v="8"/>
    <x v="0"/>
    <n v="3"/>
    <n v="21.48"/>
    <s v="Premium"/>
    <n v="12.888"/>
    <n v="64.44"/>
    <n v="51.552"/>
    <n v="0.8"/>
    <x v="0"/>
    <d v="2025-05-28T17:07:49"/>
    <d v="2025-05-28T17:07:49"/>
    <x v="4"/>
    <x v="0"/>
    <x v="0"/>
    <n v="17"/>
    <x v="1"/>
  </r>
  <r>
    <n v="9769"/>
    <s v="Scott Clark"/>
    <x v="0"/>
    <x v="0"/>
    <n v="2"/>
    <n v="17.22"/>
    <s v="Mid-Range"/>
    <n v="10.331999999999999"/>
    <n v="34.44"/>
    <n v="24.107999999999997"/>
    <n v="0.7"/>
    <x v="0"/>
    <d v="2025-05-28T22:37:55"/>
    <d v="2025-05-28T22:37:55"/>
    <x v="4"/>
    <x v="0"/>
    <x v="0"/>
    <n v="22"/>
    <x v="2"/>
  </r>
  <r>
    <n v="3940"/>
    <s v="Catherine Jenkins"/>
    <x v="8"/>
    <x v="0"/>
    <n v="1"/>
    <n v="5.41"/>
    <s v="Budget"/>
    <n v="3.246"/>
    <n v="5.41"/>
    <n v="2.1640000000000001"/>
    <n v="0.4"/>
    <x v="3"/>
    <d v="2025-05-29T05:00:15"/>
    <d v="2025-05-29T05:00:15"/>
    <x v="4"/>
    <x v="1"/>
    <x v="0"/>
    <n v="5"/>
    <x v="0"/>
  </r>
  <r>
    <n v="9744"/>
    <s v="Jean Miller"/>
    <x v="1"/>
    <x v="1"/>
    <n v="5"/>
    <n v="9.69"/>
    <s v="Budget"/>
    <n v="5.8139999999999992"/>
    <n v="48.449999999999996"/>
    <n v="42.635999999999996"/>
    <n v="0.88"/>
    <x v="1"/>
    <d v="2025-05-29T12:50:23"/>
    <d v="2025-05-29T12:50:23"/>
    <x v="4"/>
    <x v="1"/>
    <x v="0"/>
    <n v="12"/>
    <x v="1"/>
  </r>
  <r>
    <n v="4844"/>
    <s v="Anthony Wilson"/>
    <x v="2"/>
    <x v="2"/>
    <n v="3"/>
    <n v="15.93"/>
    <s v="Mid-Range"/>
    <n v="9.5579999999999998"/>
    <n v="47.79"/>
    <n v="38.231999999999999"/>
    <n v="0.8"/>
    <x v="3"/>
    <d v="2025-05-30T05:29:53"/>
    <d v="2025-05-30T05:29:53"/>
    <x v="4"/>
    <x v="2"/>
    <x v="1"/>
    <n v="5"/>
    <x v="0"/>
  </r>
  <r>
    <n v="4514"/>
    <s v="Nathan Holland"/>
    <x v="6"/>
    <x v="2"/>
    <n v="4"/>
    <n v="2.2799999999999998"/>
    <s v="Budget"/>
    <n v="1.3679999999999999"/>
    <n v="9.1199999999999992"/>
    <n v="7.7519999999999989"/>
    <n v="0.85"/>
    <x v="0"/>
    <d v="2025-05-30T09:24:15"/>
    <d v="2025-05-30T09:24:15"/>
    <x v="4"/>
    <x v="2"/>
    <x v="1"/>
    <n v="9"/>
    <x v="0"/>
  </r>
  <r>
    <n v="4484"/>
    <s v="Amanda Jones"/>
    <x v="7"/>
    <x v="0"/>
    <n v="5"/>
    <n v="11.26"/>
    <s v="Mid-Range"/>
    <n v="6.7559999999999993"/>
    <n v="56.3"/>
    <n v="49.543999999999997"/>
    <n v="0.88"/>
    <x v="0"/>
    <d v="2025-05-30T11:32:08"/>
    <d v="2025-05-30T11:32:08"/>
    <x v="4"/>
    <x v="2"/>
    <x v="1"/>
    <n v="11"/>
    <x v="0"/>
  </r>
  <r>
    <n v="8884"/>
    <s v="Larry Higgins"/>
    <x v="7"/>
    <x v="0"/>
    <n v="3"/>
    <n v="9.64"/>
    <s v="Budget"/>
    <n v="5.7839999999999998"/>
    <n v="28.92"/>
    <n v="23.136000000000003"/>
    <n v="0.8"/>
    <x v="2"/>
    <d v="2025-05-30T16:30:12"/>
    <d v="2025-05-30T16:30:12"/>
    <x v="4"/>
    <x v="2"/>
    <x v="1"/>
    <n v="16"/>
    <x v="1"/>
  </r>
  <r>
    <n v="6565"/>
    <s v="Brandy Lewis"/>
    <x v="4"/>
    <x v="1"/>
    <n v="4"/>
    <n v="6.61"/>
    <s v="Budget"/>
    <n v="3.9660000000000002"/>
    <n v="26.44"/>
    <n v="22.474"/>
    <n v="0.85"/>
    <x v="2"/>
    <d v="2025-05-30T18:14:36"/>
    <d v="2025-05-30T18:14:36"/>
    <x v="4"/>
    <x v="2"/>
    <x v="1"/>
    <n v="18"/>
    <x v="2"/>
  </r>
  <r>
    <n v="9564"/>
    <s v="Jon Boyd"/>
    <x v="7"/>
    <x v="0"/>
    <n v="5"/>
    <n v="10.14"/>
    <s v="Mid-Range"/>
    <n v="6.0840000000000005"/>
    <n v="50.7"/>
    <n v="44.616"/>
    <n v="0.87999999999999989"/>
    <x v="0"/>
    <d v="2025-05-30T22:52:14"/>
    <d v="2025-05-30T22:52:14"/>
    <x v="4"/>
    <x v="2"/>
    <x v="1"/>
    <n v="22"/>
    <x v="2"/>
  </r>
  <r>
    <n v="4062"/>
    <s v="Daniel Gomez"/>
    <x v="1"/>
    <x v="1"/>
    <n v="4"/>
    <n v="21.39"/>
    <s v="Premium"/>
    <n v="12.834"/>
    <n v="85.56"/>
    <n v="72.725999999999999"/>
    <n v="0.85"/>
    <x v="1"/>
    <d v="2025-05-31T23:14:05"/>
    <d v="2025-05-31T23:14:05"/>
    <x v="4"/>
    <x v="3"/>
    <x v="1"/>
    <n v="23"/>
    <x v="2"/>
  </r>
  <r>
    <n v="5906"/>
    <s v="Diana Davis"/>
    <x v="2"/>
    <x v="2"/>
    <n v="3"/>
    <n v="4.63"/>
    <s v="Budget"/>
    <n v="2.778"/>
    <n v="13.89"/>
    <n v="11.112"/>
    <n v="0.79999999999999993"/>
    <x v="3"/>
    <d v="2025-06-02T10:35:36"/>
    <d v="2025-06-02T10:35:36"/>
    <x v="5"/>
    <x v="6"/>
    <x v="0"/>
    <n v="10"/>
    <x v="0"/>
  </r>
  <r>
    <n v="6634"/>
    <s v="Sara Graham"/>
    <x v="8"/>
    <x v="0"/>
    <n v="5"/>
    <n v="24.87"/>
    <s v="Premium"/>
    <n v="14.922000000000001"/>
    <n v="124.35000000000001"/>
    <n v="109.42800000000001"/>
    <n v="0.88"/>
    <x v="3"/>
    <d v="2025-06-02T10:53:27"/>
    <d v="2025-06-02T10:53:27"/>
    <x v="5"/>
    <x v="6"/>
    <x v="0"/>
    <n v="10"/>
    <x v="0"/>
  </r>
  <r>
    <n v="8767"/>
    <s v="Gregory Hicks MD"/>
    <x v="7"/>
    <x v="0"/>
    <n v="2"/>
    <n v="3.25"/>
    <s v="Budget"/>
    <n v="1.95"/>
    <n v="6.5"/>
    <n v="4.55"/>
    <n v="0.7"/>
    <x v="0"/>
    <d v="2025-06-02T23:01:30"/>
    <d v="2025-06-02T23:01:30"/>
    <x v="5"/>
    <x v="6"/>
    <x v="0"/>
    <n v="23"/>
    <x v="2"/>
  </r>
  <r>
    <n v="3946"/>
    <s v="Anthony Sherman"/>
    <x v="8"/>
    <x v="0"/>
    <n v="1"/>
    <n v="13.05"/>
    <s v="Mid-Range"/>
    <n v="7.83"/>
    <n v="13.05"/>
    <n v="5.2200000000000006"/>
    <n v="0.4"/>
    <x v="3"/>
    <d v="2025-06-03T01:41:32"/>
    <d v="2025-06-03T01:41:32"/>
    <x v="5"/>
    <x v="5"/>
    <x v="0"/>
    <n v="1"/>
    <x v="0"/>
  </r>
  <r>
    <n v="9625"/>
    <s v="Matthew Rogers"/>
    <x v="7"/>
    <x v="0"/>
    <n v="1"/>
    <n v="16.55"/>
    <s v="Mid-Range"/>
    <n v="9.93"/>
    <n v="16.55"/>
    <n v="6.620000000000001"/>
    <n v="0.4"/>
    <x v="2"/>
    <d v="2025-06-03T02:37:19"/>
    <d v="2025-06-03T02:37:19"/>
    <x v="5"/>
    <x v="5"/>
    <x v="0"/>
    <n v="2"/>
    <x v="0"/>
  </r>
  <r>
    <n v="6753"/>
    <s v="Jennifer Reed"/>
    <x v="2"/>
    <x v="2"/>
    <n v="2"/>
    <n v="15.2"/>
    <s v="Mid-Range"/>
    <n v="9.1199999999999992"/>
    <n v="30.4"/>
    <n v="21.28"/>
    <n v="0.70000000000000007"/>
    <x v="2"/>
    <d v="2025-06-03T05:28:54"/>
    <d v="2025-06-03T05:28:54"/>
    <x v="5"/>
    <x v="5"/>
    <x v="0"/>
    <n v="5"/>
    <x v="0"/>
  </r>
  <r>
    <n v="9888"/>
    <s v="Timothy Harris"/>
    <x v="8"/>
    <x v="0"/>
    <n v="1"/>
    <n v="13.86"/>
    <s v="Mid-Range"/>
    <n v="8.3159999999999989"/>
    <n v="13.86"/>
    <n v="5.5440000000000005"/>
    <n v="0.40000000000000008"/>
    <x v="2"/>
    <d v="2025-06-03T18:34:12"/>
    <d v="2025-06-03T18:34:12"/>
    <x v="5"/>
    <x v="5"/>
    <x v="0"/>
    <n v="18"/>
    <x v="2"/>
  </r>
  <r>
    <n v="8984"/>
    <s v="Kristin Bennett"/>
    <x v="5"/>
    <x v="1"/>
    <n v="4"/>
    <n v="17.02"/>
    <s v="Mid-Range"/>
    <n v="10.212"/>
    <n v="68.08"/>
    <n v="57.867999999999995"/>
    <n v="0.85"/>
    <x v="3"/>
    <d v="2025-06-04T07:16:43"/>
    <d v="2025-06-04T07:16:43"/>
    <x v="5"/>
    <x v="0"/>
    <x v="0"/>
    <n v="7"/>
    <x v="0"/>
  </r>
  <r>
    <n v="9001"/>
    <s v="Geoffrey Jenkins"/>
    <x v="8"/>
    <x v="0"/>
    <n v="5"/>
    <n v="11.9"/>
    <s v="Mid-Range"/>
    <n v="7.14"/>
    <n v="59.5"/>
    <n v="52.36"/>
    <n v="0.88"/>
    <x v="1"/>
    <d v="2025-06-04T21:40:50"/>
    <d v="2025-06-04T21:40:50"/>
    <x v="5"/>
    <x v="0"/>
    <x v="0"/>
    <n v="21"/>
    <x v="2"/>
  </r>
  <r>
    <n v="2187"/>
    <s v="Heather Wheeler"/>
    <x v="3"/>
    <x v="2"/>
    <n v="2"/>
    <n v="12.43"/>
    <s v="Mid-Range"/>
    <n v="7.4579999999999993"/>
    <n v="24.86"/>
    <n v="17.402000000000001"/>
    <n v="0.70000000000000007"/>
    <x v="0"/>
    <d v="2025-06-05T03:05:12"/>
    <d v="2025-06-05T03:05:12"/>
    <x v="5"/>
    <x v="1"/>
    <x v="0"/>
    <n v="3"/>
    <x v="0"/>
  </r>
  <r>
    <n v="6721"/>
    <s v="Ricardo Neal"/>
    <x v="3"/>
    <x v="2"/>
    <n v="5"/>
    <n v="5.87"/>
    <s v="Budget"/>
    <n v="3.5219999999999998"/>
    <n v="29.35"/>
    <n v="25.828000000000003"/>
    <n v="0.88"/>
    <x v="0"/>
    <d v="2025-06-05T12:22:54"/>
    <d v="2025-06-05T12:22:54"/>
    <x v="5"/>
    <x v="1"/>
    <x v="0"/>
    <n v="12"/>
    <x v="1"/>
  </r>
  <r>
    <n v="3356"/>
    <s v="Deborah Salazar"/>
    <x v="2"/>
    <x v="2"/>
    <n v="4"/>
    <n v="12.8"/>
    <s v="Mid-Range"/>
    <n v="7.68"/>
    <n v="51.2"/>
    <n v="43.52"/>
    <n v="0.85"/>
    <x v="2"/>
    <d v="2025-06-05T19:11:21"/>
    <d v="2025-06-05T19:11:21"/>
    <x v="5"/>
    <x v="1"/>
    <x v="0"/>
    <n v="19"/>
    <x v="2"/>
  </r>
  <r>
    <n v="2710"/>
    <s v="Amy Browning"/>
    <x v="8"/>
    <x v="0"/>
    <n v="3"/>
    <n v="15.26"/>
    <s v="Mid-Range"/>
    <n v="9.1559999999999988"/>
    <n v="45.78"/>
    <n v="36.624000000000002"/>
    <n v="0.8"/>
    <x v="3"/>
    <d v="2025-06-05T20:32:22"/>
    <d v="2025-06-05T20:32:22"/>
    <x v="5"/>
    <x v="1"/>
    <x v="0"/>
    <n v="20"/>
    <x v="2"/>
  </r>
  <r>
    <n v="2085"/>
    <s v="Karen Sullivan"/>
    <x v="3"/>
    <x v="2"/>
    <n v="5"/>
    <n v="6.46"/>
    <s v="Budget"/>
    <n v="3.8759999999999999"/>
    <n v="32.299999999999997"/>
    <n v="28.423999999999996"/>
    <n v="0.88"/>
    <x v="2"/>
    <d v="2025-06-06T22:35:12"/>
    <d v="2025-06-06T22:35:12"/>
    <x v="5"/>
    <x v="2"/>
    <x v="1"/>
    <n v="22"/>
    <x v="2"/>
  </r>
  <r>
    <n v="9969"/>
    <s v="Monica Hill"/>
    <x v="2"/>
    <x v="2"/>
    <n v="3"/>
    <n v="9.42"/>
    <s v="Budget"/>
    <n v="5.6520000000000001"/>
    <n v="28.259999999999998"/>
    <n v="22.607999999999997"/>
    <n v="0.79999999999999993"/>
    <x v="2"/>
    <d v="2025-06-07T09:10:16"/>
    <d v="2025-06-07T09:10:16"/>
    <x v="5"/>
    <x v="3"/>
    <x v="1"/>
    <n v="9"/>
    <x v="0"/>
  </r>
  <r>
    <n v="6920"/>
    <s v="Jennifer Hunter"/>
    <x v="2"/>
    <x v="2"/>
    <n v="3"/>
    <n v="17.36"/>
    <s v="Mid-Range"/>
    <n v="10.415999999999999"/>
    <n v="52.08"/>
    <n v="41.664000000000001"/>
    <n v="0.8"/>
    <x v="0"/>
    <d v="2025-06-07T11:18:33"/>
    <d v="2025-06-07T11:18:33"/>
    <x v="5"/>
    <x v="3"/>
    <x v="1"/>
    <n v="11"/>
    <x v="0"/>
  </r>
  <r>
    <n v="3304"/>
    <s v="Ashley Davis"/>
    <x v="8"/>
    <x v="0"/>
    <n v="5"/>
    <n v="24.02"/>
    <s v="Premium"/>
    <n v="14.411999999999999"/>
    <n v="120.1"/>
    <n v="105.68799999999999"/>
    <n v="0.87999999999999989"/>
    <x v="1"/>
    <d v="2025-06-07T16:06:02"/>
    <d v="2025-06-07T16:06:02"/>
    <x v="5"/>
    <x v="3"/>
    <x v="1"/>
    <n v="16"/>
    <x v="1"/>
  </r>
  <r>
    <n v="3082"/>
    <s v="Brandon Myers"/>
    <x v="5"/>
    <x v="1"/>
    <n v="4"/>
    <n v="17.27"/>
    <s v="Mid-Range"/>
    <n v="10.362"/>
    <n v="69.08"/>
    <n v="58.717999999999996"/>
    <n v="0.85"/>
    <x v="2"/>
    <d v="2025-06-08T10:57:47"/>
    <d v="2025-06-08T10:57:47"/>
    <x v="5"/>
    <x v="4"/>
    <x v="0"/>
    <n v="10"/>
    <x v="0"/>
  </r>
  <r>
    <n v="8700"/>
    <s v="Linda Dean"/>
    <x v="7"/>
    <x v="0"/>
    <n v="1"/>
    <n v="6.27"/>
    <s v="Budget"/>
    <n v="3.7619999999999996"/>
    <n v="6.27"/>
    <n v="2.508"/>
    <n v="0.4"/>
    <x v="3"/>
    <d v="2025-06-08T12:54:59"/>
    <d v="2025-06-08T12:54:59"/>
    <x v="5"/>
    <x v="4"/>
    <x v="0"/>
    <n v="12"/>
    <x v="1"/>
  </r>
  <r>
    <n v="1430"/>
    <s v="James Jones"/>
    <x v="6"/>
    <x v="2"/>
    <n v="1"/>
    <n v="17.38"/>
    <s v="Mid-Range"/>
    <n v="10.427999999999999"/>
    <n v="17.38"/>
    <n v="6.952"/>
    <n v="0.4"/>
    <x v="3"/>
    <d v="2025-06-09T09:53:31"/>
    <d v="2025-06-09T09:53:31"/>
    <x v="5"/>
    <x v="6"/>
    <x v="0"/>
    <n v="9"/>
    <x v="0"/>
  </r>
  <r>
    <n v="3257"/>
    <s v="Jerry Singh"/>
    <x v="5"/>
    <x v="1"/>
    <n v="5"/>
    <n v="12.07"/>
    <s v="Mid-Range"/>
    <n v="7.242"/>
    <n v="60.35"/>
    <n v="53.108000000000004"/>
    <n v="0.88"/>
    <x v="1"/>
    <d v="2025-06-10T04:12:29"/>
    <d v="2025-06-10T04:12:29"/>
    <x v="5"/>
    <x v="5"/>
    <x v="0"/>
    <n v="4"/>
    <x v="0"/>
  </r>
  <r>
    <n v="5318"/>
    <s v="Erica Browning"/>
    <x v="0"/>
    <x v="0"/>
    <n v="5"/>
    <n v="2.15"/>
    <s v="Budget"/>
    <n v="1.2899999999999998"/>
    <n v="10.75"/>
    <n v="9.4600000000000009"/>
    <n v="0.88000000000000012"/>
    <x v="3"/>
    <d v="2025-06-10T13:33:38"/>
    <d v="2025-06-10T13:33:38"/>
    <x v="5"/>
    <x v="5"/>
    <x v="0"/>
    <n v="13"/>
    <x v="1"/>
  </r>
  <r>
    <n v="7636"/>
    <s v="Mrs. Sheila Dean"/>
    <x v="8"/>
    <x v="0"/>
    <n v="4"/>
    <n v="18.54"/>
    <s v="Mid-Range"/>
    <n v="11.123999999999999"/>
    <n v="74.16"/>
    <n v="63.036000000000001"/>
    <n v="0.85000000000000009"/>
    <x v="3"/>
    <d v="2025-06-11T03:33:09"/>
    <d v="2025-06-11T03:33:09"/>
    <x v="5"/>
    <x v="0"/>
    <x v="0"/>
    <n v="3"/>
    <x v="0"/>
  </r>
  <r>
    <n v="3217"/>
    <s v="Michael Smith"/>
    <x v="5"/>
    <x v="1"/>
    <n v="4"/>
    <n v="9.4"/>
    <s v="Budget"/>
    <n v="5.64"/>
    <n v="37.6"/>
    <n v="31.96"/>
    <n v="0.85"/>
    <x v="2"/>
    <d v="2025-06-11T14:28:13"/>
    <d v="2025-06-11T14:28:13"/>
    <x v="5"/>
    <x v="0"/>
    <x v="0"/>
    <n v="14"/>
    <x v="1"/>
  </r>
  <r>
    <n v="1383"/>
    <s v="Elaine Wong"/>
    <x v="4"/>
    <x v="1"/>
    <n v="2"/>
    <n v="23.5"/>
    <s v="Premium"/>
    <n v="14.1"/>
    <n v="47"/>
    <n v="32.9"/>
    <n v="0.7"/>
    <x v="1"/>
    <d v="2025-06-12T22:00:48"/>
    <d v="2025-06-12T22:00:48"/>
    <x v="5"/>
    <x v="1"/>
    <x v="0"/>
    <n v="22"/>
    <x v="2"/>
  </r>
  <r>
    <n v="9816"/>
    <s v="Katelyn Brown"/>
    <x v="0"/>
    <x v="0"/>
    <n v="5"/>
    <n v="5.63"/>
    <s v="Budget"/>
    <n v="3.3779999999999997"/>
    <n v="28.15"/>
    <n v="24.771999999999998"/>
    <n v="0.88"/>
    <x v="0"/>
    <d v="2025-06-13T03:41:49"/>
    <d v="2025-06-13T03:41:49"/>
    <x v="5"/>
    <x v="2"/>
    <x v="1"/>
    <n v="3"/>
    <x v="0"/>
  </r>
  <r>
    <n v="1388"/>
    <s v="David Robinson"/>
    <x v="4"/>
    <x v="1"/>
    <n v="4"/>
    <n v="22.78"/>
    <s v="Premium"/>
    <n v="13.668000000000001"/>
    <n v="91.12"/>
    <n v="77.451999999999998"/>
    <n v="0.85"/>
    <x v="0"/>
    <d v="2025-06-13T15:22:13"/>
    <d v="2025-06-13T15:22:13"/>
    <x v="5"/>
    <x v="2"/>
    <x v="1"/>
    <n v="15"/>
    <x v="1"/>
  </r>
  <r>
    <n v="6789"/>
    <s v="Nicole Barrett"/>
    <x v="5"/>
    <x v="1"/>
    <n v="5"/>
    <n v="22.18"/>
    <s v="Premium"/>
    <n v="13.308"/>
    <n v="110.9"/>
    <n v="97.592000000000013"/>
    <n v="0.88000000000000012"/>
    <x v="0"/>
    <d v="2025-06-14T14:56:50"/>
    <d v="2025-06-14T14:56:50"/>
    <x v="5"/>
    <x v="3"/>
    <x v="1"/>
    <n v="14"/>
    <x v="1"/>
  </r>
  <r>
    <n v="7920"/>
    <s v="Jennifer Santos"/>
    <x v="6"/>
    <x v="2"/>
    <n v="1"/>
    <n v="6.65"/>
    <s v="Budget"/>
    <n v="3.99"/>
    <n v="6.65"/>
    <n v="2.66"/>
    <n v="0.4"/>
    <x v="2"/>
    <d v="2025-06-14T20:05:22"/>
    <d v="2025-06-14T20:05:22"/>
    <x v="5"/>
    <x v="3"/>
    <x v="1"/>
    <n v="20"/>
    <x v="2"/>
  </r>
  <r>
    <n v="9879"/>
    <s v="Joseph Barnes"/>
    <x v="1"/>
    <x v="1"/>
    <n v="3"/>
    <n v="4.05"/>
    <s v="Budget"/>
    <n v="2.4299999999999997"/>
    <n v="12.149999999999999"/>
    <n v="9.7199999999999989"/>
    <n v="0.8"/>
    <x v="0"/>
    <d v="2025-06-15T05:15:23"/>
    <d v="2025-06-15T05:15:23"/>
    <x v="5"/>
    <x v="4"/>
    <x v="0"/>
    <n v="5"/>
    <x v="0"/>
  </r>
  <r>
    <n v="9294"/>
    <s v="Thomas Aguirre"/>
    <x v="3"/>
    <x v="2"/>
    <n v="4"/>
    <n v="17.29"/>
    <s v="Mid-Range"/>
    <n v="10.373999999999999"/>
    <n v="69.16"/>
    <n v="58.786000000000001"/>
    <n v="0.85000000000000009"/>
    <x v="2"/>
    <d v="2025-06-15T06:59:57"/>
    <d v="2025-06-15T06:59:57"/>
    <x v="5"/>
    <x v="4"/>
    <x v="0"/>
    <n v="6"/>
    <x v="0"/>
  </r>
  <r>
    <n v="2229"/>
    <s v="Tiffany Gardner"/>
    <x v="0"/>
    <x v="0"/>
    <n v="1"/>
    <n v="17.97"/>
    <s v="Mid-Range"/>
    <n v="10.781999999999998"/>
    <n v="17.97"/>
    <n v="7.1880000000000006"/>
    <n v="0.40000000000000008"/>
    <x v="0"/>
    <d v="2025-06-15T15:06:21"/>
    <d v="2025-06-15T15:06:21"/>
    <x v="5"/>
    <x v="4"/>
    <x v="0"/>
    <n v="15"/>
    <x v="1"/>
  </r>
  <r>
    <n v="8786"/>
    <s v="Thomas Huynh"/>
    <x v="1"/>
    <x v="1"/>
    <n v="2"/>
    <n v="2.27"/>
    <s v="Budget"/>
    <n v="1.3619999999999999"/>
    <n v="4.54"/>
    <n v="3.1779999999999999"/>
    <n v="0.7"/>
    <x v="2"/>
    <d v="2025-06-15T17:21:24"/>
    <d v="2025-06-15T17:21:24"/>
    <x v="5"/>
    <x v="4"/>
    <x v="0"/>
    <n v="17"/>
    <x v="1"/>
  </r>
  <r>
    <n v="9369"/>
    <s v="Michelle Harris"/>
    <x v="0"/>
    <x v="0"/>
    <n v="5"/>
    <n v="20.75"/>
    <s v="Premium"/>
    <n v="12.45"/>
    <n v="103.75"/>
    <n v="91.3"/>
    <n v="0.88"/>
    <x v="3"/>
    <d v="2025-06-15T23:04:21"/>
    <d v="2025-06-15T23:04:21"/>
    <x v="5"/>
    <x v="4"/>
    <x v="0"/>
    <n v="23"/>
    <x v="2"/>
  </r>
  <r>
    <n v="4274"/>
    <s v="Shane Gallegos MD"/>
    <x v="0"/>
    <x v="0"/>
    <n v="4"/>
    <n v="8.19"/>
    <s v="Budget"/>
    <n v="4.9139999999999997"/>
    <n v="32.76"/>
    <n v="27.845999999999997"/>
    <n v="0.85"/>
    <x v="1"/>
    <d v="2025-06-16T04:03:00"/>
    <d v="2025-06-16T04:03:00"/>
    <x v="5"/>
    <x v="6"/>
    <x v="0"/>
    <n v="4"/>
    <x v="0"/>
  </r>
  <r>
    <n v="8137"/>
    <s v="James Chase"/>
    <x v="0"/>
    <x v="0"/>
    <n v="5"/>
    <n v="22.71"/>
    <s v="Premium"/>
    <n v="13.625999999999999"/>
    <n v="113.55000000000001"/>
    <n v="99.924000000000007"/>
    <n v="0.88"/>
    <x v="1"/>
    <d v="2025-06-16T07:59:30"/>
    <d v="2025-06-16T07:59:30"/>
    <x v="5"/>
    <x v="6"/>
    <x v="0"/>
    <n v="7"/>
    <x v="0"/>
  </r>
  <r>
    <n v="2141"/>
    <s v="Jennifer Williams"/>
    <x v="7"/>
    <x v="0"/>
    <n v="3"/>
    <n v="23.69"/>
    <s v="Premium"/>
    <n v="14.214"/>
    <n v="71.070000000000007"/>
    <n v="56.856000000000009"/>
    <n v="0.8"/>
    <x v="2"/>
    <d v="2025-06-17T11:43:21"/>
    <d v="2025-06-17T11:43:21"/>
    <x v="5"/>
    <x v="5"/>
    <x v="0"/>
    <n v="11"/>
    <x v="0"/>
  </r>
  <r>
    <n v="2121"/>
    <s v="Lori James"/>
    <x v="0"/>
    <x v="0"/>
    <n v="1"/>
    <n v="22.48"/>
    <s v="Premium"/>
    <n v="13.488"/>
    <n v="22.48"/>
    <n v="8.9920000000000009"/>
    <n v="0.4"/>
    <x v="1"/>
    <d v="2025-06-17T13:26:01"/>
    <d v="2025-06-17T13:26:01"/>
    <x v="5"/>
    <x v="5"/>
    <x v="0"/>
    <n v="13"/>
    <x v="1"/>
  </r>
  <r>
    <n v="1270"/>
    <s v="Christopher Noble"/>
    <x v="5"/>
    <x v="1"/>
    <n v="2"/>
    <n v="4.0999999999999996"/>
    <s v="Budget"/>
    <n v="2.4599999999999995"/>
    <n v="8.1999999999999993"/>
    <n v="5.74"/>
    <n v="0.70000000000000007"/>
    <x v="0"/>
    <d v="2025-06-17T20:57:11"/>
    <d v="2025-06-17T20:57:11"/>
    <x v="5"/>
    <x v="5"/>
    <x v="0"/>
    <n v="20"/>
    <x v="2"/>
  </r>
  <r>
    <n v="8526"/>
    <s v="Jane Guzman"/>
    <x v="3"/>
    <x v="2"/>
    <n v="1"/>
    <n v="15.84"/>
    <s v="Mid-Range"/>
    <n v="9.5039999999999996"/>
    <n v="15.84"/>
    <n v="6.3360000000000003"/>
    <n v="0.4"/>
    <x v="0"/>
    <d v="2025-06-17T21:22:22"/>
    <d v="2025-06-17T21:22:22"/>
    <x v="5"/>
    <x v="5"/>
    <x v="0"/>
    <n v="21"/>
    <x v="2"/>
  </r>
  <r>
    <n v="6918"/>
    <s v="Luis Mccullough"/>
    <x v="1"/>
    <x v="1"/>
    <n v="3"/>
    <n v="11.34"/>
    <s v="Mid-Range"/>
    <n v="6.8039999999999994"/>
    <n v="34.019999999999996"/>
    <n v="27.215999999999998"/>
    <n v="0.8"/>
    <x v="0"/>
    <d v="2025-06-18T10:36:23"/>
    <d v="2025-06-18T10:36:23"/>
    <x v="5"/>
    <x v="0"/>
    <x v="0"/>
    <n v="10"/>
    <x v="0"/>
  </r>
  <r>
    <n v="9154"/>
    <s v="Jessica Williams"/>
    <x v="3"/>
    <x v="2"/>
    <n v="3"/>
    <n v="22.49"/>
    <s v="Premium"/>
    <n v="13.493999999999998"/>
    <n v="67.47"/>
    <n v="53.975999999999999"/>
    <n v="0.8"/>
    <x v="3"/>
    <d v="2025-06-18T20:47:35"/>
    <d v="2025-06-18T20:47:35"/>
    <x v="5"/>
    <x v="0"/>
    <x v="0"/>
    <n v="20"/>
    <x v="2"/>
  </r>
  <r>
    <n v="5326"/>
    <s v="Sandra Good"/>
    <x v="0"/>
    <x v="0"/>
    <n v="3"/>
    <n v="2.42"/>
    <s v="Budget"/>
    <n v="1.452"/>
    <n v="7.26"/>
    <n v="5.8079999999999998"/>
    <n v="0.8"/>
    <x v="3"/>
    <d v="2025-06-19T11:16:53"/>
    <d v="2025-06-19T11:16:53"/>
    <x v="5"/>
    <x v="1"/>
    <x v="0"/>
    <n v="11"/>
    <x v="0"/>
  </r>
  <r>
    <n v="2834"/>
    <s v="Catherine Thompson"/>
    <x v="6"/>
    <x v="2"/>
    <n v="3"/>
    <n v="8.31"/>
    <s v="Budget"/>
    <n v="4.9859999999999998"/>
    <n v="24.93"/>
    <n v="19.943999999999999"/>
    <n v="0.79999999999999993"/>
    <x v="3"/>
    <d v="2025-06-20T18:19:56"/>
    <d v="2025-06-20T18:19:56"/>
    <x v="5"/>
    <x v="2"/>
    <x v="1"/>
    <n v="18"/>
    <x v="2"/>
  </r>
  <r>
    <n v="4056"/>
    <s v="Antonio Pena"/>
    <x v="7"/>
    <x v="0"/>
    <n v="4"/>
    <n v="15.11"/>
    <s v="Mid-Range"/>
    <n v="9.0659999999999989"/>
    <n v="60.44"/>
    <n v="51.373999999999995"/>
    <n v="0.85"/>
    <x v="1"/>
    <d v="2025-06-20T22:05:01"/>
    <d v="2025-06-20T22:05:01"/>
    <x v="5"/>
    <x v="2"/>
    <x v="1"/>
    <n v="22"/>
    <x v="2"/>
  </r>
  <r>
    <n v="9709"/>
    <s v="Susan Glenn"/>
    <x v="4"/>
    <x v="1"/>
    <n v="4"/>
    <n v="21.78"/>
    <s v="Premium"/>
    <n v="13.068"/>
    <n v="87.12"/>
    <n v="74.052000000000007"/>
    <n v="0.85"/>
    <x v="0"/>
    <d v="2025-06-20T22:28:53"/>
    <d v="2025-06-20T22:28:53"/>
    <x v="5"/>
    <x v="2"/>
    <x v="1"/>
    <n v="22"/>
    <x v="2"/>
  </r>
  <r>
    <n v="6622"/>
    <s v="Erica Medina"/>
    <x v="4"/>
    <x v="1"/>
    <n v="4"/>
    <n v="3.47"/>
    <s v="Budget"/>
    <n v="2.0819999999999999"/>
    <n v="13.88"/>
    <n v="11.798000000000002"/>
    <n v="0.85000000000000009"/>
    <x v="2"/>
    <d v="2025-06-20T23:52:25"/>
    <d v="2025-06-20T23:52:25"/>
    <x v="5"/>
    <x v="2"/>
    <x v="1"/>
    <n v="23"/>
    <x v="2"/>
  </r>
  <r>
    <n v="3327"/>
    <s v="Julie Johnson"/>
    <x v="2"/>
    <x v="2"/>
    <n v="1"/>
    <n v="19.11"/>
    <s v="Mid-Range"/>
    <n v="11.465999999999999"/>
    <n v="19.11"/>
    <n v="7.6440000000000001"/>
    <n v="0.4"/>
    <x v="3"/>
    <d v="2025-06-21T04:45:50"/>
    <d v="2025-06-21T04:45:50"/>
    <x v="5"/>
    <x v="3"/>
    <x v="1"/>
    <n v="4"/>
    <x v="0"/>
  </r>
  <r>
    <n v="7043"/>
    <s v="Janet Salazar"/>
    <x v="2"/>
    <x v="2"/>
    <n v="2"/>
    <n v="5.93"/>
    <s v="Budget"/>
    <n v="3.5579999999999998"/>
    <n v="11.86"/>
    <n v="8.3019999999999996"/>
    <n v="0.7"/>
    <x v="3"/>
    <d v="2025-06-21T19:24:43"/>
    <d v="2025-06-21T19:24:43"/>
    <x v="5"/>
    <x v="3"/>
    <x v="1"/>
    <n v="19"/>
    <x v="2"/>
  </r>
  <r>
    <n v="7106"/>
    <s v="Emily Mcmillan"/>
    <x v="3"/>
    <x v="2"/>
    <n v="5"/>
    <n v="17.38"/>
    <s v="Mid-Range"/>
    <n v="10.427999999999999"/>
    <n v="86.899999999999991"/>
    <n v="76.471999999999994"/>
    <n v="0.88"/>
    <x v="0"/>
    <d v="2025-06-21T22:04:03"/>
    <d v="2025-06-21T22:04:03"/>
    <x v="5"/>
    <x v="3"/>
    <x v="1"/>
    <n v="22"/>
    <x v="2"/>
  </r>
  <r>
    <n v="8675"/>
    <s v="Anthony Griffin"/>
    <x v="8"/>
    <x v="0"/>
    <n v="3"/>
    <n v="6.38"/>
    <s v="Budget"/>
    <n v="3.8279999999999998"/>
    <n v="19.14"/>
    <n v="15.312000000000001"/>
    <n v="0.8"/>
    <x v="3"/>
    <d v="2025-06-23T00:18:06"/>
    <d v="2025-06-23T00:18:06"/>
    <x v="5"/>
    <x v="6"/>
    <x v="0"/>
    <n v="0"/>
    <x v="0"/>
  </r>
  <r>
    <n v="6685"/>
    <s v="Gregory Stephens"/>
    <x v="5"/>
    <x v="1"/>
    <n v="1"/>
    <n v="17.350000000000001"/>
    <s v="Mid-Range"/>
    <n v="10.41"/>
    <n v="17.350000000000001"/>
    <n v="6.9400000000000013"/>
    <n v="0.4"/>
    <x v="2"/>
    <d v="2025-06-24T00:55:41"/>
    <d v="2025-06-24T00:55:41"/>
    <x v="5"/>
    <x v="5"/>
    <x v="0"/>
    <n v="0"/>
    <x v="0"/>
  </r>
  <r>
    <n v="5188"/>
    <s v="Sarah Baker"/>
    <x v="2"/>
    <x v="2"/>
    <n v="5"/>
    <n v="17.43"/>
    <s v="Mid-Range"/>
    <n v="10.458"/>
    <n v="87.15"/>
    <n v="76.692000000000007"/>
    <n v="0.88"/>
    <x v="1"/>
    <d v="2025-06-24T16:22:37"/>
    <d v="2025-06-24T16:22:37"/>
    <x v="5"/>
    <x v="5"/>
    <x v="0"/>
    <n v="16"/>
    <x v="1"/>
  </r>
  <r>
    <n v="2799"/>
    <s v="William Collins"/>
    <x v="1"/>
    <x v="1"/>
    <n v="1"/>
    <n v="13.62"/>
    <s v="Mid-Range"/>
    <n v="8.1719999999999988"/>
    <n v="13.62"/>
    <n v="5.4480000000000004"/>
    <n v="0.40000000000000008"/>
    <x v="0"/>
    <d v="2025-06-25T13:54:05"/>
    <d v="2025-06-25T13:54:05"/>
    <x v="5"/>
    <x v="0"/>
    <x v="0"/>
    <n v="13"/>
    <x v="1"/>
  </r>
  <r>
    <n v="6244"/>
    <s v="Jason Russell"/>
    <x v="0"/>
    <x v="0"/>
    <n v="1"/>
    <n v="5.86"/>
    <s v="Budget"/>
    <n v="3.516"/>
    <n v="5.86"/>
    <n v="2.3440000000000003"/>
    <n v="0.4"/>
    <x v="2"/>
    <d v="2025-06-25T18:16:54"/>
    <d v="2025-06-25T18:16:54"/>
    <x v="5"/>
    <x v="0"/>
    <x v="0"/>
    <n v="18"/>
    <x v="2"/>
  </r>
  <r>
    <n v="8800"/>
    <s v="Margaret Lopez"/>
    <x v="6"/>
    <x v="2"/>
    <n v="1"/>
    <n v="21.58"/>
    <s v="Premium"/>
    <n v="12.947999999999999"/>
    <n v="21.58"/>
    <n v="8.6319999999999997"/>
    <n v="0.4"/>
    <x v="0"/>
    <d v="2025-06-26T13:08:04"/>
    <d v="2025-06-26T13:08:04"/>
    <x v="5"/>
    <x v="1"/>
    <x v="0"/>
    <n v="13"/>
    <x v="1"/>
  </r>
  <r>
    <n v="4925"/>
    <s v="Lauren Freeman"/>
    <x v="5"/>
    <x v="1"/>
    <n v="5"/>
    <n v="12.99"/>
    <s v="Mid-Range"/>
    <n v="7.7939999999999996"/>
    <n v="64.95"/>
    <n v="57.156000000000006"/>
    <n v="0.88"/>
    <x v="1"/>
    <d v="2025-06-26T13:27:06"/>
    <d v="2025-06-26T13:27:06"/>
    <x v="5"/>
    <x v="1"/>
    <x v="0"/>
    <n v="13"/>
    <x v="1"/>
  </r>
  <r>
    <n v="4728"/>
    <s v="Amanda Cervantes"/>
    <x v="5"/>
    <x v="1"/>
    <n v="1"/>
    <n v="22.89"/>
    <s v="Premium"/>
    <n v="13.734"/>
    <n v="22.89"/>
    <n v="9.1560000000000006"/>
    <n v="0.4"/>
    <x v="0"/>
    <d v="2025-06-26T21:34:35"/>
    <d v="2025-06-26T21:34:35"/>
    <x v="5"/>
    <x v="1"/>
    <x v="0"/>
    <n v="21"/>
    <x v="2"/>
  </r>
  <r>
    <n v="4478"/>
    <s v="Donald Scott"/>
    <x v="6"/>
    <x v="2"/>
    <n v="1"/>
    <n v="12.99"/>
    <s v="Mid-Range"/>
    <n v="7.7939999999999996"/>
    <n v="12.99"/>
    <n v="5.1960000000000006"/>
    <n v="0.4"/>
    <x v="1"/>
    <d v="2025-06-27T00:46:31"/>
    <d v="2025-06-27T00:46:31"/>
    <x v="5"/>
    <x v="2"/>
    <x v="1"/>
    <n v="0"/>
    <x v="0"/>
  </r>
  <r>
    <n v="6443"/>
    <s v="Amy Mclean"/>
    <x v="8"/>
    <x v="0"/>
    <n v="1"/>
    <n v="7.93"/>
    <s v="Budget"/>
    <n v="4.758"/>
    <n v="7.93"/>
    <n v="3.1719999999999997"/>
    <n v="0.39999999999999997"/>
    <x v="0"/>
    <d v="2025-06-27T01:59:01"/>
    <d v="2025-06-27T01:59:01"/>
    <x v="5"/>
    <x v="2"/>
    <x v="1"/>
    <n v="1"/>
    <x v="0"/>
  </r>
  <r>
    <n v="5320"/>
    <s v="Kristy James"/>
    <x v="2"/>
    <x v="2"/>
    <n v="3"/>
    <n v="5.49"/>
    <s v="Budget"/>
    <n v="3.294"/>
    <n v="16.47"/>
    <n v="13.175999999999998"/>
    <n v="0.79999999999999993"/>
    <x v="1"/>
    <d v="2025-06-27T03:50:14"/>
    <d v="2025-06-27T03:50:14"/>
    <x v="5"/>
    <x v="2"/>
    <x v="1"/>
    <n v="3"/>
    <x v="0"/>
  </r>
  <r>
    <n v="2842"/>
    <s v="Laura Archer"/>
    <x v="7"/>
    <x v="0"/>
    <n v="4"/>
    <n v="18.079999999999998"/>
    <s v="Mid-Range"/>
    <n v="10.847999999999999"/>
    <n v="72.319999999999993"/>
    <n v="61.471999999999994"/>
    <n v="0.85"/>
    <x v="3"/>
    <d v="2025-06-27T17:59:36"/>
    <d v="2025-06-27T17:59:36"/>
    <x v="5"/>
    <x v="2"/>
    <x v="1"/>
    <n v="17"/>
    <x v="1"/>
  </r>
  <r>
    <n v="4033"/>
    <s v="George Mack"/>
    <x v="5"/>
    <x v="1"/>
    <n v="5"/>
    <n v="9.64"/>
    <s v="Budget"/>
    <n v="5.7839999999999998"/>
    <n v="48.2"/>
    <n v="42.416000000000004"/>
    <n v="0.88"/>
    <x v="1"/>
    <d v="2025-06-28T07:30:50"/>
    <d v="2025-06-28T07:30:50"/>
    <x v="5"/>
    <x v="3"/>
    <x v="1"/>
    <n v="7"/>
    <x v="0"/>
  </r>
  <r>
    <n v="8927"/>
    <s v="Courtney Patterson"/>
    <x v="6"/>
    <x v="2"/>
    <n v="1"/>
    <n v="18.170000000000002"/>
    <s v="Mid-Range"/>
    <n v="10.902000000000001"/>
    <n v="18.170000000000002"/>
    <n v="7.2680000000000007"/>
    <n v="0.4"/>
    <x v="0"/>
    <d v="2025-06-29T16:52:01"/>
    <d v="2025-06-29T16:52:01"/>
    <x v="5"/>
    <x v="4"/>
    <x v="0"/>
    <n v="16"/>
    <x v="1"/>
  </r>
  <r>
    <n v="6306"/>
    <s v="Wyatt Jackson"/>
    <x v="5"/>
    <x v="1"/>
    <n v="1"/>
    <n v="12"/>
    <s v="Mid-Range"/>
    <n v="7.1999999999999993"/>
    <n v="12"/>
    <n v="4.8000000000000007"/>
    <n v="0.40000000000000008"/>
    <x v="0"/>
    <d v="2025-07-01T06:54:28"/>
    <d v="2025-07-01T06:54:28"/>
    <x v="6"/>
    <x v="5"/>
    <x v="0"/>
    <n v="6"/>
    <x v="0"/>
  </r>
  <r>
    <n v="8109"/>
    <s v="Jeffery Mason"/>
    <x v="3"/>
    <x v="2"/>
    <n v="2"/>
    <n v="15.56"/>
    <s v="Mid-Range"/>
    <n v="9.3360000000000003"/>
    <n v="31.12"/>
    <n v="21.783999999999999"/>
    <n v="0.7"/>
    <x v="2"/>
    <d v="2025-07-02T18:30:54"/>
    <d v="2025-07-02T18:30:54"/>
    <x v="6"/>
    <x v="0"/>
    <x v="0"/>
    <n v="18"/>
    <x v="2"/>
  </r>
  <r>
    <n v="8216"/>
    <s v="Allison Lynch"/>
    <x v="0"/>
    <x v="0"/>
    <n v="4"/>
    <n v="4.46"/>
    <s v="Budget"/>
    <n v="2.6759999999999997"/>
    <n v="17.84"/>
    <n v="15.164"/>
    <n v="0.85"/>
    <x v="0"/>
    <d v="2025-07-03T04:25:23"/>
    <d v="2025-07-03T04:25:23"/>
    <x v="6"/>
    <x v="1"/>
    <x v="0"/>
    <n v="4"/>
    <x v="0"/>
  </r>
  <r>
    <n v="5788"/>
    <s v="Melissa Wolfe"/>
    <x v="5"/>
    <x v="1"/>
    <n v="3"/>
    <n v="3.84"/>
    <s v="Budget"/>
    <n v="2.3039999999999998"/>
    <n v="11.52"/>
    <n v="9.2159999999999993"/>
    <n v="0.79999999999999993"/>
    <x v="0"/>
    <d v="2025-07-03T09:32:16"/>
    <d v="2025-07-03T09:32:16"/>
    <x v="6"/>
    <x v="1"/>
    <x v="0"/>
    <n v="9"/>
    <x v="0"/>
  </r>
  <r>
    <n v="2902"/>
    <s v="Catherine Martinez"/>
    <x v="5"/>
    <x v="1"/>
    <n v="4"/>
    <n v="20.260000000000002"/>
    <s v="Premium"/>
    <n v="12.156000000000001"/>
    <n v="81.040000000000006"/>
    <n v="68.884"/>
    <n v="0.85"/>
    <x v="3"/>
    <d v="2025-07-03T20:17:22"/>
    <d v="2025-07-03T20:17:22"/>
    <x v="6"/>
    <x v="1"/>
    <x v="0"/>
    <n v="20"/>
    <x v="2"/>
  </r>
  <r>
    <n v="9748"/>
    <s v="Wesley Le"/>
    <x v="4"/>
    <x v="1"/>
    <n v="3"/>
    <n v="24.03"/>
    <s v="Premium"/>
    <n v="14.417999999999999"/>
    <n v="72.09"/>
    <n v="57.672000000000004"/>
    <n v="0.8"/>
    <x v="3"/>
    <d v="2025-07-04T17:02:58"/>
    <d v="2025-07-04T17:02:58"/>
    <x v="6"/>
    <x v="2"/>
    <x v="1"/>
    <n v="17"/>
    <x v="1"/>
  </r>
  <r>
    <n v="8874"/>
    <s v="Nicole Parrish"/>
    <x v="7"/>
    <x v="0"/>
    <n v="1"/>
    <n v="23.88"/>
    <s v="Premium"/>
    <n v="14.327999999999999"/>
    <n v="23.88"/>
    <n v="9.5519999999999996"/>
    <n v="0.4"/>
    <x v="0"/>
    <d v="2025-07-05T03:18:03"/>
    <d v="2025-07-05T03:18:03"/>
    <x v="6"/>
    <x v="3"/>
    <x v="1"/>
    <n v="3"/>
    <x v="0"/>
  </r>
  <r>
    <n v="3343"/>
    <s v="Sherry Rogers"/>
    <x v="7"/>
    <x v="0"/>
    <n v="2"/>
    <n v="3.76"/>
    <s v="Budget"/>
    <n v="2.2559999999999998"/>
    <n v="7.52"/>
    <n v="5.2639999999999993"/>
    <n v="0.7"/>
    <x v="0"/>
    <d v="2025-07-05T23:29:01"/>
    <d v="2025-07-05T23:29:01"/>
    <x v="6"/>
    <x v="3"/>
    <x v="1"/>
    <n v="23"/>
    <x v="2"/>
  </r>
  <r>
    <n v="1066"/>
    <s v="Melissa Duncan"/>
    <x v="2"/>
    <x v="2"/>
    <n v="2"/>
    <n v="22.97"/>
    <s v="Premium"/>
    <n v="13.781999999999998"/>
    <n v="45.94"/>
    <n v="32.158000000000001"/>
    <n v="0.70000000000000007"/>
    <x v="2"/>
    <d v="2025-07-06T08:10:00"/>
    <d v="2025-07-06T08:10:00"/>
    <x v="6"/>
    <x v="4"/>
    <x v="0"/>
    <n v="8"/>
    <x v="0"/>
  </r>
  <r>
    <n v="6017"/>
    <s v="Norma Avila"/>
    <x v="8"/>
    <x v="0"/>
    <n v="4"/>
    <n v="20.7"/>
    <s v="Premium"/>
    <n v="12.42"/>
    <n v="82.8"/>
    <n v="70.38"/>
    <n v="0.85"/>
    <x v="3"/>
    <d v="2025-07-06T14:32:40"/>
    <d v="2025-07-06T14:32:40"/>
    <x v="6"/>
    <x v="4"/>
    <x v="0"/>
    <n v="14"/>
    <x v="1"/>
  </r>
  <r>
    <n v="8625"/>
    <s v="Mary Curtis"/>
    <x v="4"/>
    <x v="1"/>
    <n v="5"/>
    <n v="22.96"/>
    <s v="Premium"/>
    <n v="13.776"/>
    <n v="114.80000000000001"/>
    <n v="101.02400000000002"/>
    <n v="0.88"/>
    <x v="2"/>
    <d v="2025-07-07T04:42:29"/>
    <d v="2025-07-07T04:42:29"/>
    <x v="6"/>
    <x v="6"/>
    <x v="0"/>
    <n v="4"/>
    <x v="0"/>
  </r>
  <r>
    <n v="9764"/>
    <s v="Mark Thomas"/>
    <x v="7"/>
    <x v="0"/>
    <n v="5"/>
    <n v="18.14"/>
    <s v="Mid-Range"/>
    <n v="10.884"/>
    <n v="90.7"/>
    <n v="79.816000000000003"/>
    <n v="0.88"/>
    <x v="2"/>
    <d v="2025-07-08T04:59:34"/>
    <d v="2025-07-08T04:59:34"/>
    <x v="6"/>
    <x v="5"/>
    <x v="0"/>
    <n v="4"/>
    <x v="0"/>
  </r>
  <r>
    <n v="3502"/>
    <s v="Dr. Rebekah Davenport"/>
    <x v="1"/>
    <x v="1"/>
    <n v="3"/>
    <n v="23.47"/>
    <s v="Premium"/>
    <n v="14.081999999999999"/>
    <n v="70.41"/>
    <n v="56.327999999999996"/>
    <n v="0.79999999999999993"/>
    <x v="3"/>
    <d v="2025-07-08T08:16:00"/>
    <d v="2025-07-08T08:16:00"/>
    <x v="6"/>
    <x v="5"/>
    <x v="0"/>
    <n v="8"/>
    <x v="0"/>
  </r>
  <r>
    <n v="1574"/>
    <s v="Amanda Waters"/>
    <x v="3"/>
    <x v="2"/>
    <n v="2"/>
    <n v="18.47"/>
    <s v="Mid-Range"/>
    <n v="11.081999999999999"/>
    <n v="36.94"/>
    <n v="25.857999999999997"/>
    <n v="0.7"/>
    <x v="3"/>
    <d v="2025-07-08T16:06:00"/>
    <d v="2025-07-08T16:06:00"/>
    <x v="6"/>
    <x v="5"/>
    <x v="0"/>
    <n v="16"/>
    <x v="1"/>
  </r>
  <r>
    <n v="6096"/>
    <s v="Joseph Hamilton"/>
    <x v="5"/>
    <x v="1"/>
    <n v="1"/>
    <n v="2.59"/>
    <s v="Budget"/>
    <n v="1.5539999999999998"/>
    <n v="2.59"/>
    <n v="1.036"/>
    <n v="0.4"/>
    <x v="1"/>
    <d v="2025-07-09T08:52:16"/>
    <d v="2025-07-09T08:52:16"/>
    <x v="6"/>
    <x v="0"/>
    <x v="0"/>
    <n v="8"/>
    <x v="0"/>
  </r>
  <r>
    <n v="2144"/>
    <s v="Courtney Dixon"/>
    <x v="4"/>
    <x v="1"/>
    <n v="5"/>
    <n v="13.65"/>
    <s v="Mid-Range"/>
    <n v="8.19"/>
    <n v="68.25"/>
    <n v="60.06"/>
    <n v="0.88"/>
    <x v="0"/>
    <d v="2025-07-10T03:21:01"/>
    <d v="2025-07-10T03:21:01"/>
    <x v="6"/>
    <x v="1"/>
    <x v="0"/>
    <n v="3"/>
    <x v="0"/>
  </r>
  <r>
    <n v="1425"/>
    <s v="Jeanette Hayes"/>
    <x v="1"/>
    <x v="1"/>
    <n v="3"/>
    <n v="24.52"/>
    <s v="Premium"/>
    <n v="14.712"/>
    <n v="73.56"/>
    <n v="58.847999999999999"/>
    <n v="0.79999999999999993"/>
    <x v="2"/>
    <d v="2025-07-10T19:21:13"/>
    <d v="2025-07-10T19:21:13"/>
    <x v="6"/>
    <x v="1"/>
    <x v="0"/>
    <n v="19"/>
    <x v="2"/>
  </r>
  <r>
    <n v="8851"/>
    <s v="Billy Tapia"/>
    <x v="4"/>
    <x v="1"/>
    <n v="3"/>
    <n v="8.0299999999999994"/>
    <s v="Budget"/>
    <n v="4.8179999999999996"/>
    <n v="24.089999999999996"/>
    <n v="19.271999999999998"/>
    <n v="0.8"/>
    <x v="0"/>
    <d v="2025-07-10T21:53:03"/>
    <d v="2025-07-10T21:53:03"/>
    <x v="6"/>
    <x v="1"/>
    <x v="0"/>
    <n v="21"/>
    <x v="2"/>
  </r>
  <r>
    <n v="6092"/>
    <s v="Timothy Miller"/>
    <x v="2"/>
    <x v="2"/>
    <n v="5"/>
    <n v="21.43"/>
    <s v="Premium"/>
    <n v="12.857999999999999"/>
    <n v="107.15"/>
    <n v="94.292000000000002"/>
    <n v="0.88"/>
    <x v="0"/>
    <d v="2025-07-11T04:42:09"/>
    <d v="2025-07-11T04:42:09"/>
    <x v="6"/>
    <x v="2"/>
    <x v="1"/>
    <n v="4"/>
    <x v="0"/>
  </r>
  <r>
    <n v="1486"/>
    <s v="Elizabeth Contreras"/>
    <x v="2"/>
    <x v="2"/>
    <n v="3"/>
    <n v="15.77"/>
    <s v="Mid-Range"/>
    <n v="9.4619999999999997"/>
    <n v="47.31"/>
    <n v="37.847999999999999"/>
    <n v="0.79999999999999993"/>
    <x v="2"/>
    <d v="2025-07-11T07:28:29"/>
    <d v="2025-07-11T07:28:29"/>
    <x v="6"/>
    <x v="2"/>
    <x v="1"/>
    <n v="7"/>
    <x v="0"/>
  </r>
  <r>
    <n v="2151"/>
    <s v="Aimee White"/>
    <x v="3"/>
    <x v="2"/>
    <n v="4"/>
    <n v="4.45"/>
    <s v="Budget"/>
    <n v="2.67"/>
    <n v="17.8"/>
    <n v="15.13"/>
    <n v="0.85"/>
    <x v="0"/>
    <d v="2025-07-12T08:38:11"/>
    <d v="2025-07-12T08:38:11"/>
    <x v="6"/>
    <x v="3"/>
    <x v="1"/>
    <n v="8"/>
    <x v="0"/>
  </r>
  <r>
    <n v="6635"/>
    <s v="Diane Garza"/>
    <x v="7"/>
    <x v="0"/>
    <n v="4"/>
    <n v="21.66"/>
    <s v="Premium"/>
    <n v="12.996"/>
    <n v="86.64"/>
    <n v="73.644000000000005"/>
    <n v="0.85000000000000009"/>
    <x v="3"/>
    <d v="2025-07-12T09:30:50"/>
    <d v="2025-07-12T09:30:50"/>
    <x v="6"/>
    <x v="3"/>
    <x v="1"/>
    <n v="9"/>
    <x v="0"/>
  </r>
  <r>
    <n v="4559"/>
    <s v="Daniel Jennings"/>
    <x v="2"/>
    <x v="2"/>
    <n v="3"/>
    <n v="20.32"/>
    <s v="Premium"/>
    <n v="12.192"/>
    <n v="60.96"/>
    <n v="48.768000000000001"/>
    <n v="0.8"/>
    <x v="0"/>
    <d v="2025-07-13T12:15:31"/>
    <d v="2025-07-13T12:15:31"/>
    <x v="6"/>
    <x v="4"/>
    <x v="0"/>
    <n v="12"/>
    <x v="1"/>
  </r>
  <r>
    <n v="7605"/>
    <s v="Jessica Burke"/>
    <x v="8"/>
    <x v="0"/>
    <n v="4"/>
    <n v="23.55"/>
    <s v="Premium"/>
    <n v="14.13"/>
    <n v="94.2"/>
    <n v="80.070000000000007"/>
    <n v="0.85000000000000009"/>
    <x v="3"/>
    <d v="2025-07-13T12:42:17"/>
    <d v="2025-07-13T12:42:17"/>
    <x v="6"/>
    <x v="4"/>
    <x v="0"/>
    <n v="12"/>
    <x v="1"/>
  </r>
  <r>
    <n v="5948"/>
    <s v="Elizabeth Stanley"/>
    <x v="4"/>
    <x v="1"/>
    <n v="1"/>
    <n v="11.95"/>
    <s v="Mid-Range"/>
    <n v="7.169999999999999"/>
    <n v="11.95"/>
    <n v="4.78"/>
    <n v="0.4"/>
    <x v="2"/>
    <d v="2025-07-14T08:20:45"/>
    <d v="2025-07-14T08:20:45"/>
    <x v="6"/>
    <x v="6"/>
    <x v="0"/>
    <n v="8"/>
    <x v="0"/>
  </r>
  <r>
    <n v="5913"/>
    <s v="Danielle Carey"/>
    <x v="6"/>
    <x v="2"/>
    <n v="2"/>
    <n v="6.12"/>
    <s v="Budget"/>
    <n v="3.6719999999999997"/>
    <n v="12.24"/>
    <n v="8.5680000000000014"/>
    <n v="0.70000000000000007"/>
    <x v="3"/>
    <d v="2025-07-14T12:38:16"/>
    <d v="2025-07-14T12:38:16"/>
    <x v="6"/>
    <x v="6"/>
    <x v="0"/>
    <n v="12"/>
    <x v="1"/>
  </r>
  <r>
    <n v="9450"/>
    <s v="Pamela Moore"/>
    <x v="3"/>
    <x v="2"/>
    <n v="3"/>
    <n v="22.03"/>
    <s v="Premium"/>
    <n v="13.218"/>
    <n v="66.09"/>
    <n v="52.872"/>
    <n v="0.79999999999999993"/>
    <x v="1"/>
    <d v="2025-07-14T12:55:33"/>
    <d v="2025-07-14T12:55:33"/>
    <x v="6"/>
    <x v="6"/>
    <x v="0"/>
    <n v="12"/>
    <x v="1"/>
  </r>
  <r>
    <n v="2780"/>
    <s v="Crystal Landry"/>
    <x v="2"/>
    <x v="2"/>
    <n v="3"/>
    <n v="8.6"/>
    <s v="Budget"/>
    <n v="5.1599999999999993"/>
    <n v="25.799999999999997"/>
    <n v="20.639999999999997"/>
    <n v="0.79999999999999993"/>
    <x v="3"/>
    <d v="2025-07-14T13:51:16"/>
    <d v="2025-07-14T13:51:16"/>
    <x v="6"/>
    <x v="6"/>
    <x v="0"/>
    <n v="13"/>
    <x v="1"/>
  </r>
  <r>
    <n v="7792"/>
    <s v="Brandon King"/>
    <x v="3"/>
    <x v="2"/>
    <n v="1"/>
    <n v="6.8"/>
    <s v="Budget"/>
    <n v="4.08"/>
    <n v="6.8"/>
    <n v="2.7199999999999998"/>
    <n v="0.39999999999999997"/>
    <x v="2"/>
    <d v="2025-07-14T14:41:50"/>
    <d v="2025-07-14T14:41:50"/>
    <x v="6"/>
    <x v="6"/>
    <x v="0"/>
    <n v="14"/>
    <x v="1"/>
  </r>
  <r>
    <n v="9836"/>
    <s v="Jerry Pineda"/>
    <x v="6"/>
    <x v="2"/>
    <n v="3"/>
    <n v="15.99"/>
    <s v="Mid-Range"/>
    <n v="9.5939999999999994"/>
    <n v="47.97"/>
    <n v="38.375999999999998"/>
    <n v="0.79999999999999993"/>
    <x v="2"/>
    <d v="2025-07-15T15:00:19"/>
    <d v="2025-07-15T15:00:19"/>
    <x v="6"/>
    <x v="5"/>
    <x v="0"/>
    <n v="15"/>
    <x v="1"/>
  </r>
  <r>
    <n v="6280"/>
    <s v="Julie Tucker"/>
    <x v="1"/>
    <x v="1"/>
    <n v="1"/>
    <n v="16.940000000000001"/>
    <s v="Mid-Range"/>
    <n v="10.164"/>
    <n v="16.940000000000001"/>
    <n v="6.7760000000000016"/>
    <n v="0.40000000000000008"/>
    <x v="0"/>
    <d v="2025-07-15T23:05:07"/>
    <d v="2025-07-15T23:05:07"/>
    <x v="6"/>
    <x v="5"/>
    <x v="0"/>
    <n v="23"/>
    <x v="2"/>
  </r>
  <r>
    <n v="6389"/>
    <s v="Gerald Watson"/>
    <x v="6"/>
    <x v="2"/>
    <n v="5"/>
    <n v="14.74"/>
    <s v="Mid-Range"/>
    <n v="8.8439999999999994"/>
    <n v="73.7"/>
    <n v="64.856000000000009"/>
    <n v="0.88000000000000012"/>
    <x v="0"/>
    <d v="2025-07-16T09:55:19"/>
    <d v="2025-07-16T09:55:19"/>
    <x v="6"/>
    <x v="0"/>
    <x v="0"/>
    <n v="9"/>
    <x v="0"/>
  </r>
  <r>
    <n v="3765"/>
    <s v="Roberto Farrell"/>
    <x v="4"/>
    <x v="1"/>
    <n v="3"/>
    <n v="7.48"/>
    <s v="Budget"/>
    <n v="4.4880000000000004"/>
    <n v="22.44"/>
    <n v="17.952000000000002"/>
    <n v="0.8"/>
    <x v="1"/>
    <d v="2025-07-16T13:38:21"/>
    <d v="2025-07-16T13:38:21"/>
    <x v="6"/>
    <x v="0"/>
    <x v="0"/>
    <n v="13"/>
    <x v="1"/>
  </r>
  <r>
    <n v="3025"/>
    <s v="Jerome Bright"/>
    <x v="5"/>
    <x v="1"/>
    <n v="4"/>
    <n v="14.35"/>
    <s v="Mid-Range"/>
    <n v="8.61"/>
    <n v="57.4"/>
    <n v="48.79"/>
    <n v="0.85"/>
    <x v="3"/>
    <d v="2025-07-16T23:04:15"/>
    <d v="2025-07-16T23:04:15"/>
    <x v="6"/>
    <x v="0"/>
    <x v="0"/>
    <n v="23"/>
    <x v="2"/>
  </r>
  <r>
    <n v="3174"/>
    <s v="Carolyn Roberts"/>
    <x v="4"/>
    <x v="1"/>
    <n v="4"/>
    <n v="19.48"/>
    <s v="Mid-Range"/>
    <n v="11.688000000000001"/>
    <n v="77.92"/>
    <n v="66.231999999999999"/>
    <n v="0.85"/>
    <x v="0"/>
    <d v="2025-07-18T00:59:40"/>
    <d v="2025-07-18T00:59:40"/>
    <x v="6"/>
    <x v="2"/>
    <x v="1"/>
    <n v="0"/>
    <x v="0"/>
  </r>
  <r>
    <n v="3775"/>
    <s v="Heather Peterson"/>
    <x v="0"/>
    <x v="0"/>
    <n v="5"/>
    <n v="14.54"/>
    <s v="Mid-Range"/>
    <n v="8.7239999999999984"/>
    <n v="72.699999999999989"/>
    <n v="63.975999999999992"/>
    <n v="0.88"/>
    <x v="2"/>
    <d v="2025-07-18T12:26:07"/>
    <d v="2025-07-18T12:26:07"/>
    <x v="6"/>
    <x v="2"/>
    <x v="1"/>
    <n v="12"/>
    <x v="1"/>
  </r>
  <r>
    <n v="2891"/>
    <s v="James Bradley"/>
    <x v="2"/>
    <x v="2"/>
    <n v="1"/>
    <n v="19.41"/>
    <s v="Mid-Range"/>
    <n v="11.645999999999999"/>
    <n v="19.41"/>
    <n v="7.7640000000000011"/>
    <n v="0.40000000000000008"/>
    <x v="2"/>
    <d v="2025-07-18T12:50:41"/>
    <d v="2025-07-18T12:50:41"/>
    <x v="6"/>
    <x v="2"/>
    <x v="1"/>
    <n v="12"/>
    <x v="1"/>
  </r>
  <r>
    <n v="3339"/>
    <s v="Alexander Wallace"/>
    <x v="8"/>
    <x v="0"/>
    <n v="3"/>
    <n v="20.010000000000002"/>
    <s v="Premium"/>
    <n v="12.006"/>
    <n v="60.03"/>
    <n v="48.024000000000001"/>
    <n v="0.8"/>
    <x v="1"/>
    <d v="2025-07-18T18:47:35"/>
    <d v="2025-07-18T18:47:35"/>
    <x v="6"/>
    <x v="2"/>
    <x v="1"/>
    <n v="18"/>
    <x v="2"/>
  </r>
  <r>
    <n v="3953"/>
    <s v="Phillip Lucas"/>
    <x v="3"/>
    <x v="2"/>
    <n v="4"/>
    <n v="13.31"/>
    <s v="Mid-Range"/>
    <n v="7.9859999999999998"/>
    <n v="53.24"/>
    <n v="45.254000000000005"/>
    <n v="0.85000000000000009"/>
    <x v="2"/>
    <d v="2025-07-19T01:52:14"/>
    <d v="2025-07-19T01:52:14"/>
    <x v="6"/>
    <x v="3"/>
    <x v="1"/>
    <n v="1"/>
    <x v="0"/>
  </r>
  <r>
    <n v="6151"/>
    <s v="Margaret Mcdowell"/>
    <x v="1"/>
    <x v="1"/>
    <n v="2"/>
    <n v="13.64"/>
    <s v="Mid-Range"/>
    <n v="8.1839999999999993"/>
    <n v="27.28"/>
    <n v="19.096000000000004"/>
    <n v="0.70000000000000007"/>
    <x v="1"/>
    <d v="2025-07-19T03:04:58"/>
    <d v="2025-07-19T03:04:58"/>
    <x v="6"/>
    <x v="3"/>
    <x v="1"/>
    <n v="3"/>
    <x v="0"/>
  </r>
  <r>
    <n v="2740"/>
    <s v="Mark Santiago"/>
    <x v="6"/>
    <x v="2"/>
    <n v="4"/>
    <n v="20.47"/>
    <s v="Premium"/>
    <n v="12.281999999999998"/>
    <n v="81.88"/>
    <n v="69.597999999999999"/>
    <n v="0.85000000000000009"/>
    <x v="1"/>
    <d v="2025-07-20T02:22:00"/>
    <d v="2025-07-20T02:22:00"/>
    <x v="6"/>
    <x v="4"/>
    <x v="0"/>
    <n v="2"/>
    <x v="0"/>
  </r>
  <r>
    <n v="6802"/>
    <s v="Lisa Andrade"/>
    <x v="3"/>
    <x v="2"/>
    <n v="2"/>
    <n v="8.41"/>
    <s v="Budget"/>
    <n v="5.0460000000000003"/>
    <n v="16.82"/>
    <n v="11.774000000000001"/>
    <n v="0.70000000000000007"/>
    <x v="3"/>
    <d v="2025-07-21T00:43:24"/>
    <d v="2025-07-21T00:43:24"/>
    <x v="6"/>
    <x v="6"/>
    <x v="0"/>
    <n v="0"/>
    <x v="0"/>
  </r>
  <r>
    <n v="4700"/>
    <s v="Megan Peterson"/>
    <x v="7"/>
    <x v="0"/>
    <n v="4"/>
    <n v="18.38"/>
    <s v="Mid-Range"/>
    <n v="11.027999999999999"/>
    <n v="73.52"/>
    <n v="62.491999999999997"/>
    <n v="0.85"/>
    <x v="1"/>
    <d v="2025-07-21T22:05:41"/>
    <d v="2025-07-21T22:05:41"/>
    <x v="6"/>
    <x v="6"/>
    <x v="0"/>
    <n v="22"/>
    <x v="2"/>
  </r>
  <r>
    <n v="8008"/>
    <s v="Paul Wright MD"/>
    <x v="7"/>
    <x v="0"/>
    <n v="1"/>
    <n v="10.08"/>
    <s v="Mid-Range"/>
    <n v="6.048"/>
    <n v="10.08"/>
    <n v="4.032"/>
    <n v="0.4"/>
    <x v="1"/>
    <d v="2025-07-22T06:25:08"/>
    <d v="2025-07-22T06:25:08"/>
    <x v="6"/>
    <x v="5"/>
    <x v="0"/>
    <n v="6"/>
    <x v="0"/>
  </r>
  <r>
    <n v="6981"/>
    <s v="Melissa Diaz"/>
    <x v="6"/>
    <x v="2"/>
    <n v="3"/>
    <n v="8.73"/>
    <s v="Budget"/>
    <n v="5.2380000000000004"/>
    <n v="26.19"/>
    <n v="20.952000000000002"/>
    <n v="0.8"/>
    <x v="2"/>
    <d v="2025-07-22T17:23:06"/>
    <d v="2025-07-22T17:23:06"/>
    <x v="6"/>
    <x v="5"/>
    <x v="0"/>
    <n v="17"/>
    <x v="1"/>
  </r>
  <r>
    <n v="7976"/>
    <s v="Ronald Floyd"/>
    <x v="7"/>
    <x v="0"/>
    <n v="4"/>
    <n v="4.07"/>
    <s v="Budget"/>
    <n v="2.4420000000000002"/>
    <n v="16.28"/>
    <n v="13.838000000000001"/>
    <n v="0.85"/>
    <x v="1"/>
    <d v="2025-07-22T17:45:03"/>
    <d v="2025-07-22T17:45:03"/>
    <x v="6"/>
    <x v="5"/>
    <x v="0"/>
    <n v="17"/>
    <x v="1"/>
  </r>
  <r>
    <n v="7876"/>
    <s v="Ivan Haynes"/>
    <x v="6"/>
    <x v="2"/>
    <n v="5"/>
    <n v="20.54"/>
    <s v="Premium"/>
    <n v="12.324"/>
    <n v="102.69999999999999"/>
    <n v="90.375999999999991"/>
    <n v="0.88"/>
    <x v="3"/>
    <d v="2025-07-23T08:10:06"/>
    <d v="2025-07-23T08:10:06"/>
    <x v="6"/>
    <x v="0"/>
    <x v="0"/>
    <n v="8"/>
    <x v="0"/>
  </r>
  <r>
    <n v="5358"/>
    <s v="Mark Winters"/>
    <x v="6"/>
    <x v="2"/>
    <n v="4"/>
    <n v="5.53"/>
    <s v="Budget"/>
    <n v="3.3180000000000001"/>
    <n v="22.12"/>
    <n v="18.802"/>
    <n v="0.85"/>
    <x v="1"/>
    <d v="2025-07-23T12:35:24"/>
    <d v="2025-07-23T12:35:24"/>
    <x v="6"/>
    <x v="0"/>
    <x v="0"/>
    <n v="12"/>
    <x v="1"/>
  </r>
  <r>
    <n v="9823"/>
    <s v="Kenneth Coleman"/>
    <x v="3"/>
    <x v="2"/>
    <n v="2"/>
    <n v="5.34"/>
    <s v="Budget"/>
    <n v="3.2039999999999997"/>
    <n v="10.68"/>
    <n v="7.476"/>
    <n v="0.70000000000000007"/>
    <x v="0"/>
    <d v="2025-07-23T20:49:56"/>
    <d v="2025-07-23T20:49:56"/>
    <x v="6"/>
    <x v="0"/>
    <x v="0"/>
    <n v="20"/>
    <x v="2"/>
  </r>
  <r>
    <n v="9674"/>
    <s v="Ashley Hull"/>
    <x v="7"/>
    <x v="0"/>
    <n v="4"/>
    <n v="23.01"/>
    <s v="Premium"/>
    <n v="13.806000000000001"/>
    <n v="92.04"/>
    <n v="78.234000000000009"/>
    <n v="0.85000000000000009"/>
    <x v="3"/>
    <d v="2025-07-24T05:14:33"/>
    <d v="2025-07-24T05:14:33"/>
    <x v="6"/>
    <x v="1"/>
    <x v="0"/>
    <n v="5"/>
    <x v="0"/>
  </r>
  <r>
    <n v="3640"/>
    <s v="Marvin Bonilla"/>
    <x v="8"/>
    <x v="0"/>
    <n v="5"/>
    <n v="14.17"/>
    <s v="Mid-Range"/>
    <n v="8.5019999999999989"/>
    <n v="70.849999999999994"/>
    <n v="62.347999999999999"/>
    <n v="0.88"/>
    <x v="1"/>
    <d v="2025-07-24T16:57:38"/>
    <d v="2025-07-24T16:57:38"/>
    <x v="6"/>
    <x v="1"/>
    <x v="0"/>
    <n v="16"/>
    <x v="1"/>
  </r>
  <r>
    <n v="7019"/>
    <s v="Guy Gay"/>
    <x v="0"/>
    <x v="0"/>
    <n v="4"/>
    <n v="21.44"/>
    <s v="Premium"/>
    <n v="12.864000000000001"/>
    <n v="85.76"/>
    <n v="72.896000000000001"/>
    <n v="0.85"/>
    <x v="2"/>
    <d v="2025-07-25T22:43:46"/>
    <d v="2025-07-25T22:43:46"/>
    <x v="6"/>
    <x v="2"/>
    <x v="1"/>
    <n v="22"/>
    <x v="2"/>
  </r>
  <r>
    <n v="7756"/>
    <s v="Christina Cochran"/>
    <x v="5"/>
    <x v="1"/>
    <n v="1"/>
    <n v="21.83"/>
    <s v="Premium"/>
    <n v="13.097999999999999"/>
    <n v="21.83"/>
    <n v="8.7319999999999993"/>
    <n v="0.4"/>
    <x v="3"/>
    <d v="2025-07-26T08:22:01"/>
    <d v="2025-07-26T08:22:01"/>
    <x v="6"/>
    <x v="3"/>
    <x v="1"/>
    <n v="8"/>
    <x v="0"/>
  </r>
  <r>
    <n v="9305"/>
    <s v="Jonathan Lynch"/>
    <x v="4"/>
    <x v="1"/>
    <n v="1"/>
    <n v="5.14"/>
    <s v="Budget"/>
    <n v="3.0839999999999996"/>
    <n v="5.14"/>
    <n v="2.056"/>
    <n v="0.4"/>
    <x v="3"/>
    <d v="2025-07-27T03:31:52"/>
    <d v="2025-07-27T03:31:52"/>
    <x v="6"/>
    <x v="4"/>
    <x v="0"/>
    <n v="3"/>
    <x v="0"/>
  </r>
  <r>
    <n v="8321"/>
    <s v="Tamara Winters"/>
    <x v="2"/>
    <x v="2"/>
    <n v="1"/>
    <n v="19.75"/>
    <s v="Mid-Range"/>
    <n v="11.85"/>
    <n v="19.75"/>
    <n v="7.9"/>
    <n v="0.4"/>
    <x v="0"/>
    <d v="2025-07-27T05:02:24"/>
    <d v="2025-07-27T05:02:24"/>
    <x v="6"/>
    <x v="4"/>
    <x v="0"/>
    <n v="5"/>
    <x v="0"/>
  </r>
  <r>
    <n v="5758"/>
    <s v="Jordan Guzman"/>
    <x v="3"/>
    <x v="2"/>
    <n v="1"/>
    <n v="15.57"/>
    <s v="Mid-Range"/>
    <n v="9.3420000000000005"/>
    <n v="15.57"/>
    <n v="6.2279999999999998"/>
    <n v="0.39999999999999997"/>
    <x v="0"/>
    <d v="2025-07-27T06:08:47"/>
    <d v="2025-07-27T06:08:47"/>
    <x v="6"/>
    <x v="4"/>
    <x v="0"/>
    <n v="6"/>
    <x v="0"/>
  </r>
  <r>
    <n v="5252"/>
    <s v="Lisa Gregory"/>
    <x v="2"/>
    <x v="2"/>
    <n v="2"/>
    <n v="24.51"/>
    <s v="Premium"/>
    <n v="14.706"/>
    <n v="49.02"/>
    <n v="34.314000000000007"/>
    <n v="0.70000000000000007"/>
    <x v="0"/>
    <d v="2025-07-27T11:06:52"/>
    <d v="2025-07-27T11:06:52"/>
    <x v="6"/>
    <x v="4"/>
    <x v="0"/>
    <n v="11"/>
    <x v="0"/>
  </r>
  <r>
    <n v="2838"/>
    <s v="Christopher Bailey"/>
    <x v="7"/>
    <x v="0"/>
    <n v="4"/>
    <n v="17.14"/>
    <s v="Mid-Range"/>
    <n v="10.284000000000001"/>
    <n v="68.56"/>
    <n v="58.276000000000003"/>
    <n v="0.85"/>
    <x v="2"/>
    <d v="2025-07-27T14:30:12"/>
    <d v="2025-07-27T14:30:12"/>
    <x v="6"/>
    <x v="4"/>
    <x v="0"/>
    <n v="14"/>
    <x v="1"/>
  </r>
  <r>
    <n v="4961"/>
    <s v="Ricky Jacobs"/>
    <x v="7"/>
    <x v="0"/>
    <n v="5"/>
    <n v="17"/>
    <s v="Mid-Range"/>
    <n v="10.199999999999999"/>
    <n v="85"/>
    <n v="74.8"/>
    <n v="0.88"/>
    <x v="2"/>
    <d v="2025-07-27T19:57:18"/>
    <d v="2025-07-27T19:57:18"/>
    <x v="6"/>
    <x v="4"/>
    <x v="0"/>
    <n v="19"/>
    <x v="2"/>
  </r>
  <r>
    <n v="1812"/>
    <s v="Dr. James Garza"/>
    <x v="0"/>
    <x v="0"/>
    <n v="4"/>
    <n v="22.68"/>
    <s v="Premium"/>
    <n v="13.607999999999999"/>
    <n v="90.72"/>
    <n v="77.111999999999995"/>
    <n v="0.85"/>
    <x v="0"/>
    <d v="2025-07-27T21:00:09"/>
    <d v="2025-07-27T21:00:09"/>
    <x v="6"/>
    <x v="4"/>
    <x v="0"/>
    <n v="21"/>
    <x v="2"/>
  </r>
  <r>
    <n v="9101"/>
    <s v="Laura Valdez"/>
    <x v="0"/>
    <x v="0"/>
    <n v="3"/>
    <n v="4.78"/>
    <s v="Budget"/>
    <n v="2.8679999999999999"/>
    <n v="14.34"/>
    <n v="11.472"/>
    <n v="0.79999999999999993"/>
    <x v="1"/>
    <d v="2025-07-28T00:33:12"/>
    <d v="2025-07-28T00:33:12"/>
    <x v="6"/>
    <x v="6"/>
    <x v="0"/>
    <n v="0"/>
    <x v="0"/>
  </r>
  <r>
    <n v="6266"/>
    <s v="Mark Davis"/>
    <x v="5"/>
    <x v="1"/>
    <n v="2"/>
    <n v="18.78"/>
    <s v="Mid-Range"/>
    <n v="11.268000000000001"/>
    <n v="37.56"/>
    <n v="26.292000000000002"/>
    <n v="0.7"/>
    <x v="3"/>
    <d v="2025-07-28T02:34:47"/>
    <d v="2025-07-28T02:34:47"/>
    <x v="6"/>
    <x v="6"/>
    <x v="0"/>
    <n v="2"/>
    <x v="0"/>
  </r>
  <r>
    <n v="9175"/>
    <s v="Mark Smith"/>
    <x v="4"/>
    <x v="1"/>
    <n v="4"/>
    <n v="16.02"/>
    <s v="Mid-Range"/>
    <n v="9.6120000000000001"/>
    <n v="64.08"/>
    <n v="54.467999999999996"/>
    <n v="0.85"/>
    <x v="3"/>
    <d v="2025-07-28T06:31:06"/>
    <d v="2025-07-28T06:31:06"/>
    <x v="6"/>
    <x v="6"/>
    <x v="0"/>
    <n v="6"/>
    <x v="0"/>
  </r>
  <r>
    <n v="2754"/>
    <s v="Steven Gardner"/>
    <x v="4"/>
    <x v="1"/>
    <n v="3"/>
    <n v="6.01"/>
    <s v="Budget"/>
    <n v="3.6059999999999999"/>
    <n v="18.03"/>
    <n v="14.424000000000001"/>
    <n v="0.8"/>
    <x v="0"/>
    <d v="2025-07-28T20:12:26"/>
    <d v="2025-07-28T20:12:26"/>
    <x v="6"/>
    <x v="6"/>
    <x v="0"/>
    <n v="20"/>
    <x v="2"/>
  </r>
  <r>
    <n v="5550"/>
    <s v="Laura Wheeler"/>
    <x v="7"/>
    <x v="0"/>
    <n v="3"/>
    <n v="24.52"/>
    <s v="Premium"/>
    <n v="14.712"/>
    <n v="73.56"/>
    <n v="58.847999999999999"/>
    <n v="0.79999999999999993"/>
    <x v="2"/>
    <d v="2025-07-28T21:27:09"/>
    <d v="2025-07-28T21:27:09"/>
    <x v="6"/>
    <x v="6"/>
    <x v="0"/>
    <n v="21"/>
    <x v="2"/>
  </r>
  <r>
    <n v="8382"/>
    <s v="Andrea Reynolds"/>
    <x v="7"/>
    <x v="0"/>
    <n v="3"/>
    <n v="6.65"/>
    <s v="Budget"/>
    <n v="3.99"/>
    <n v="19.950000000000003"/>
    <n v="15.960000000000003"/>
    <n v="0.8"/>
    <x v="3"/>
    <d v="2025-07-29T07:04:35"/>
    <d v="2025-07-29T07:04:35"/>
    <x v="6"/>
    <x v="5"/>
    <x v="0"/>
    <n v="7"/>
    <x v="0"/>
  </r>
  <r>
    <n v="2933"/>
    <s v="Andrew Hill"/>
    <x v="2"/>
    <x v="2"/>
    <n v="3"/>
    <n v="20.78"/>
    <s v="Premium"/>
    <n v="12.468"/>
    <n v="62.34"/>
    <n v="49.872"/>
    <n v="0.79999999999999993"/>
    <x v="3"/>
    <d v="2025-07-30T03:53:09"/>
    <d v="2025-07-30T03:53:09"/>
    <x v="6"/>
    <x v="0"/>
    <x v="0"/>
    <n v="3"/>
    <x v="0"/>
  </r>
  <r>
    <n v="5098"/>
    <s v="Christina Johnson"/>
    <x v="8"/>
    <x v="0"/>
    <n v="5"/>
    <n v="10.46"/>
    <s v="Mid-Range"/>
    <n v="6.2760000000000007"/>
    <n v="52.300000000000004"/>
    <n v="46.024000000000001"/>
    <n v="0.87999999999999989"/>
    <x v="2"/>
    <d v="2025-07-30T11:33:27"/>
    <d v="2025-07-30T11:33:27"/>
    <x v="6"/>
    <x v="0"/>
    <x v="0"/>
    <n v="11"/>
    <x v="0"/>
  </r>
  <r>
    <n v="2354"/>
    <s v="Margaret Burch"/>
    <x v="2"/>
    <x v="2"/>
    <n v="2"/>
    <n v="22.82"/>
    <s v="Premium"/>
    <n v="13.692"/>
    <n v="45.64"/>
    <n v="31.948"/>
    <n v="0.7"/>
    <x v="0"/>
    <d v="2025-07-30T16:06:45"/>
    <d v="2025-07-30T16:06:45"/>
    <x v="6"/>
    <x v="0"/>
    <x v="0"/>
    <n v="16"/>
    <x v="1"/>
  </r>
  <r>
    <n v="7215"/>
    <s v="Brittany Hughes"/>
    <x v="6"/>
    <x v="2"/>
    <n v="1"/>
    <n v="14.27"/>
    <s v="Mid-Range"/>
    <n v="8.5619999999999994"/>
    <n v="14.27"/>
    <n v="5.7080000000000002"/>
    <n v="0.4"/>
    <x v="0"/>
    <d v="2025-07-30T19:02:58"/>
    <d v="2025-07-30T19:02:58"/>
    <x v="6"/>
    <x v="0"/>
    <x v="0"/>
    <n v="19"/>
    <x v="2"/>
  </r>
  <r>
    <n v="8964"/>
    <s v="Frank Pena"/>
    <x v="8"/>
    <x v="0"/>
    <n v="4"/>
    <n v="3.5"/>
    <s v="Budget"/>
    <n v="2.1"/>
    <n v="14"/>
    <n v="11.9"/>
    <n v="0.85"/>
    <x v="1"/>
    <d v="2025-07-31T12:30:26"/>
    <d v="2025-07-31T12:30:26"/>
    <x v="6"/>
    <x v="1"/>
    <x v="0"/>
    <n v="12"/>
    <x v="1"/>
  </r>
  <r>
    <n v="9240"/>
    <s v="Zachary Fisher"/>
    <x v="5"/>
    <x v="1"/>
    <n v="5"/>
    <n v="7.57"/>
    <s v="Budget"/>
    <n v="4.5419999999999998"/>
    <n v="37.85"/>
    <n v="33.308"/>
    <n v="0.88"/>
    <x v="2"/>
    <d v="2025-08-01T08:53:34"/>
    <d v="2025-08-01T08:53:34"/>
    <x v="7"/>
    <x v="2"/>
    <x v="1"/>
    <n v="8"/>
    <x v="0"/>
  </r>
  <r>
    <n v="2234"/>
    <s v="Jillian Jackson"/>
    <x v="5"/>
    <x v="1"/>
    <n v="3"/>
    <n v="21.28"/>
    <s v="Premium"/>
    <n v="12.768000000000001"/>
    <n v="63.84"/>
    <n v="51.072000000000003"/>
    <n v="0.8"/>
    <x v="2"/>
    <d v="2025-08-01T16:44:35"/>
    <d v="2025-08-01T16:44:35"/>
    <x v="7"/>
    <x v="2"/>
    <x v="1"/>
    <n v="16"/>
    <x v="1"/>
  </r>
  <r>
    <n v="6309"/>
    <s v="Sheri White"/>
    <x v="3"/>
    <x v="2"/>
    <n v="5"/>
    <n v="15.44"/>
    <s v="Mid-Range"/>
    <n v="9.2639999999999993"/>
    <n v="77.2"/>
    <n v="67.936000000000007"/>
    <n v="0.88"/>
    <x v="1"/>
    <d v="2025-08-01T17:25:44"/>
    <d v="2025-08-01T17:25:44"/>
    <x v="7"/>
    <x v="2"/>
    <x v="1"/>
    <n v="17"/>
    <x v="1"/>
  </r>
  <r>
    <n v="8430"/>
    <s v="Matthew Hays"/>
    <x v="1"/>
    <x v="1"/>
    <n v="1"/>
    <n v="4.0999999999999996"/>
    <s v="Budget"/>
    <n v="2.4599999999999995"/>
    <n v="4.0999999999999996"/>
    <n v="1.6400000000000001"/>
    <n v="0.40000000000000008"/>
    <x v="0"/>
    <d v="2025-08-01T20:43:44"/>
    <d v="2025-08-01T20:43:44"/>
    <x v="7"/>
    <x v="2"/>
    <x v="1"/>
    <n v="20"/>
    <x v="2"/>
  </r>
  <r>
    <n v="6272"/>
    <s v="Vicki Taylor"/>
    <x v="1"/>
    <x v="1"/>
    <n v="2"/>
    <n v="3.8"/>
    <s v="Budget"/>
    <n v="2.2799999999999998"/>
    <n v="7.6"/>
    <n v="5.32"/>
    <n v="0.70000000000000007"/>
    <x v="1"/>
    <d v="2025-08-03T20:50:56"/>
    <d v="2025-08-03T20:50:56"/>
    <x v="7"/>
    <x v="4"/>
    <x v="0"/>
    <n v="20"/>
    <x v="2"/>
  </r>
  <r>
    <n v="1202"/>
    <s v="Brandy Smith"/>
    <x v="8"/>
    <x v="0"/>
    <n v="2"/>
    <n v="8.5399999999999991"/>
    <s v="Budget"/>
    <n v="5.1239999999999997"/>
    <n v="17.079999999999998"/>
    <n v="11.956"/>
    <n v="0.70000000000000007"/>
    <x v="3"/>
    <d v="2025-08-03T23:47:28"/>
    <d v="2025-08-03T23:47:28"/>
    <x v="7"/>
    <x v="4"/>
    <x v="0"/>
    <n v="23"/>
    <x v="2"/>
  </r>
  <r>
    <n v="8279"/>
    <s v="Richard Roberts"/>
    <x v="0"/>
    <x v="0"/>
    <n v="2"/>
    <n v="12.61"/>
    <s v="Mid-Range"/>
    <n v="7.5659999999999989"/>
    <n v="25.22"/>
    <n v="17.654"/>
    <n v="0.70000000000000007"/>
    <x v="3"/>
    <d v="2025-08-04T00:41:21"/>
    <d v="2025-08-04T00:41:21"/>
    <x v="7"/>
    <x v="6"/>
    <x v="0"/>
    <n v="0"/>
    <x v="0"/>
  </r>
  <r>
    <n v="6686"/>
    <s v="John Sutton"/>
    <x v="0"/>
    <x v="0"/>
    <n v="2"/>
    <n v="6.44"/>
    <s v="Budget"/>
    <n v="3.8639999999999999"/>
    <n v="12.88"/>
    <n v="9.0160000000000018"/>
    <n v="0.70000000000000007"/>
    <x v="2"/>
    <d v="2025-08-04T07:20:19"/>
    <d v="2025-08-04T07:20:19"/>
    <x v="7"/>
    <x v="6"/>
    <x v="0"/>
    <n v="7"/>
    <x v="0"/>
  </r>
  <r>
    <n v="9125"/>
    <s v="Cindy Smith"/>
    <x v="2"/>
    <x v="2"/>
    <n v="3"/>
    <n v="16.68"/>
    <s v="Mid-Range"/>
    <n v="10.007999999999999"/>
    <n v="50.04"/>
    <n v="40.031999999999996"/>
    <n v="0.79999999999999993"/>
    <x v="1"/>
    <d v="2025-08-04T13:08:16"/>
    <d v="2025-08-04T13:08:16"/>
    <x v="7"/>
    <x v="6"/>
    <x v="0"/>
    <n v="13"/>
    <x v="1"/>
  </r>
  <r>
    <n v="9211"/>
    <s v="Richard Lee"/>
    <x v="7"/>
    <x v="0"/>
    <n v="5"/>
    <n v="6.59"/>
    <s v="Budget"/>
    <n v="3.9539999999999997"/>
    <n v="32.950000000000003"/>
    <n v="28.996000000000002"/>
    <n v="0.88"/>
    <x v="0"/>
    <d v="2025-08-05T22:33:42"/>
    <d v="2025-08-05T22:33:42"/>
    <x v="7"/>
    <x v="5"/>
    <x v="0"/>
    <n v="22"/>
    <x v="2"/>
  </r>
  <r>
    <n v="4707"/>
    <s v="Robert Simmons"/>
    <x v="6"/>
    <x v="2"/>
    <n v="3"/>
    <n v="24.45"/>
    <s v="Premium"/>
    <n v="14.669999999999998"/>
    <n v="73.349999999999994"/>
    <n v="58.679999999999993"/>
    <n v="0.79999999999999993"/>
    <x v="0"/>
    <d v="2025-08-06T13:59:04"/>
    <d v="2025-08-06T13:59:04"/>
    <x v="7"/>
    <x v="0"/>
    <x v="0"/>
    <n v="13"/>
    <x v="1"/>
  </r>
  <r>
    <n v="7659"/>
    <s v="Susan Carter"/>
    <x v="8"/>
    <x v="0"/>
    <n v="1"/>
    <n v="16.059999999999999"/>
    <s v="Mid-Range"/>
    <n v="9.6359999999999992"/>
    <n v="16.059999999999999"/>
    <n v="6.4239999999999995"/>
    <n v="0.4"/>
    <x v="0"/>
    <d v="2025-08-06T17:35:34"/>
    <d v="2025-08-06T17:35:34"/>
    <x v="7"/>
    <x v="0"/>
    <x v="0"/>
    <n v="17"/>
    <x v="1"/>
  </r>
  <r>
    <n v="8560"/>
    <s v="Kenneth Ferguson"/>
    <x v="7"/>
    <x v="0"/>
    <n v="1"/>
    <n v="20.260000000000002"/>
    <s v="Premium"/>
    <n v="12.156000000000001"/>
    <n v="20.260000000000002"/>
    <n v="8.104000000000001"/>
    <n v="0.4"/>
    <x v="3"/>
    <d v="2025-08-07T08:55:03"/>
    <d v="2025-08-07T08:55:03"/>
    <x v="7"/>
    <x v="1"/>
    <x v="0"/>
    <n v="8"/>
    <x v="0"/>
  </r>
  <r>
    <n v="2951"/>
    <s v="Anthony Jennings"/>
    <x v="2"/>
    <x v="2"/>
    <n v="3"/>
    <n v="22.14"/>
    <s v="Premium"/>
    <n v="13.284000000000001"/>
    <n v="66.42"/>
    <n v="53.136000000000003"/>
    <n v="0.8"/>
    <x v="3"/>
    <d v="2025-08-07T14:43:45"/>
    <d v="2025-08-07T14:43:45"/>
    <x v="7"/>
    <x v="1"/>
    <x v="0"/>
    <n v="14"/>
    <x v="1"/>
  </r>
  <r>
    <n v="1509"/>
    <s v="Amber Mendez"/>
    <x v="1"/>
    <x v="1"/>
    <n v="2"/>
    <n v="18.86"/>
    <s v="Mid-Range"/>
    <n v="11.315999999999999"/>
    <n v="37.72"/>
    <n v="26.404"/>
    <n v="0.70000000000000007"/>
    <x v="1"/>
    <d v="2025-08-09T05:11:27"/>
    <d v="2025-08-09T05:11:27"/>
    <x v="7"/>
    <x v="3"/>
    <x v="1"/>
    <n v="5"/>
    <x v="0"/>
  </r>
  <r>
    <n v="1936"/>
    <s v="Kenneth Miranda"/>
    <x v="0"/>
    <x v="0"/>
    <n v="1"/>
    <n v="7.43"/>
    <s v="Budget"/>
    <n v="4.4579999999999993"/>
    <n v="7.43"/>
    <n v="2.9720000000000004"/>
    <n v="0.40000000000000008"/>
    <x v="3"/>
    <d v="2025-08-10T00:07:31"/>
    <d v="2025-08-10T00:07:31"/>
    <x v="7"/>
    <x v="4"/>
    <x v="0"/>
    <n v="0"/>
    <x v="0"/>
  </r>
  <r>
    <n v="5940"/>
    <s v="Jeanette Flynn"/>
    <x v="7"/>
    <x v="0"/>
    <n v="1"/>
    <n v="13.85"/>
    <s v="Mid-Range"/>
    <n v="8.3099999999999987"/>
    <n v="13.85"/>
    <n v="5.5400000000000009"/>
    <n v="0.40000000000000008"/>
    <x v="1"/>
    <d v="2025-08-10T02:16:39"/>
    <d v="2025-08-10T02:16:39"/>
    <x v="7"/>
    <x v="4"/>
    <x v="0"/>
    <n v="2"/>
    <x v="0"/>
  </r>
  <r>
    <n v="9922"/>
    <s v="Brian Brown"/>
    <x v="8"/>
    <x v="0"/>
    <n v="5"/>
    <n v="16.28"/>
    <s v="Mid-Range"/>
    <n v="9.7680000000000007"/>
    <n v="81.400000000000006"/>
    <n v="71.632000000000005"/>
    <n v="0.88"/>
    <x v="3"/>
    <d v="2025-08-10T10:15:37"/>
    <d v="2025-08-10T10:15:37"/>
    <x v="7"/>
    <x v="4"/>
    <x v="0"/>
    <n v="10"/>
    <x v="0"/>
  </r>
  <r>
    <n v="7532"/>
    <s v="Dennis Turner"/>
    <x v="5"/>
    <x v="1"/>
    <n v="4"/>
    <n v="23.76"/>
    <s v="Premium"/>
    <n v="14.256"/>
    <n v="95.04"/>
    <n v="80.784000000000006"/>
    <n v="0.85"/>
    <x v="1"/>
    <d v="2025-08-10T19:33:18"/>
    <d v="2025-08-10T19:33:18"/>
    <x v="7"/>
    <x v="4"/>
    <x v="0"/>
    <n v="19"/>
    <x v="2"/>
  </r>
  <r>
    <n v="2966"/>
    <s v="Heather Collins"/>
    <x v="1"/>
    <x v="1"/>
    <n v="2"/>
    <n v="8.85"/>
    <s v="Budget"/>
    <n v="5.31"/>
    <n v="17.7"/>
    <n v="12.39"/>
    <n v="0.70000000000000007"/>
    <x v="3"/>
    <d v="2025-08-11T14:55:51"/>
    <d v="2025-08-11T14:55:51"/>
    <x v="7"/>
    <x v="6"/>
    <x v="0"/>
    <n v="14"/>
    <x v="1"/>
  </r>
  <r>
    <n v="7631"/>
    <s v="Stacy Wagner"/>
    <x v="2"/>
    <x v="2"/>
    <n v="1"/>
    <n v="18.78"/>
    <s v="Mid-Range"/>
    <n v="11.268000000000001"/>
    <n v="18.78"/>
    <n v="7.5120000000000005"/>
    <n v="0.4"/>
    <x v="1"/>
    <d v="2025-08-11T15:20:10"/>
    <d v="2025-08-11T15:20:10"/>
    <x v="7"/>
    <x v="6"/>
    <x v="0"/>
    <n v="15"/>
    <x v="1"/>
  </r>
  <r>
    <n v="1681"/>
    <s v="Tabitha Bernard"/>
    <x v="8"/>
    <x v="0"/>
    <n v="2"/>
    <n v="14.85"/>
    <s v="Mid-Range"/>
    <n v="8.91"/>
    <n v="29.7"/>
    <n v="20.79"/>
    <n v="0.7"/>
    <x v="2"/>
    <d v="2025-08-11T18:18:02"/>
    <d v="2025-08-11T18:18:02"/>
    <x v="7"/>
    <x v="6"/>
    <x v="0"/>
    <n v="18"/>
    <x v="2"/>
  </r>
  <r>
    <n v="6841"/>
    <s v="Amy Ellis"/>
    <x v="5"/>
    <x v="1"/>
    <n v="5"/>
    <n v="5.97"/>
    <s v="Budget"/>
    <n v="3.5819999999999999"/>
    <n v="29.849999999999998"/>
    <n v="26.267999999999997"/>
    <n v="0.88"/>
    <x v="3"/>
    <d v="2025-08-12T09:36:10"/>
    <d v="2025-08-12T09:36:10"/>
    <x v="7"/>
    <x v="5"/>
    <x v="0"/>
    <n v="9"/>
    <x v="0"/>
  </r>
  <r>
    <n v="8051"/>
    <s v="Brandi Houston"/>
    <x v="0"/>
    <x v="0"/>
    <n v="3"/>
    <n v="22.52"/>
    <s v="Premium"/>
    <n v="13.511999999999999"/>
    <n v="67.56"/>
    <n v="54.048000000000002"/>
    <n v="0.8"/>
    <x v="3"/>
    <d v="2025-08-12T11:08:52"/>
    <d v="2025-08-12T11:08:52"/>
    <x v="7"/>
    <x v="5"/>
    <x v="0"/>
    <n v="11"/>
    <x v="0"/>
  </r>
  <r>
    <n v="5951"/>
    <s v="David Patel"/>
    <x v="0"/>
    <x v="0"/>
    <n v="2"/>
    <n v="9.76"/>
    <s v="Budget"/>
    <n v="5.8559999999999999"/>
    <n v="19.52"/>
    <n v="13.664"/>
    <n v="0.7"/>
    <x v="3"/>
    <d v="2025-08-12T17:00:52"/>
    <d v="2025-08-12T17:00:52"/>
    <x v="7"/>
    <x v="5"/>
    <x v="0"/>
    <n v="17"/>
    <x v="1"/>
  </r>
  <r>
    <n v="8243"/>
    <s v="Anthony Armstrong"/>
    <x v="2"/>
    <x v="2"/>
    <n v="4"/>
    <n v="6.04"/>
    <s v="Budget"/>
    <n v="3.6239999999999997"/>
    <n v="24.16"/>
    <n v="20.536000000000001"/>
    <n v="0.85000000000000009"/>
    <x v="2"/>
    <d v="2025-08-12T23:49:58"/>
    <d v="2025-08-12T23:49:58"/>
    <x v="7"/>
    <x v="5"/>
    <x v="0"/>
    <n v="23"/>
    <x v="2"/>
  </r>
  <r>
    <n v="9578"/>
    <s v="Christopher Rodriguez"/>
    <x v="3"/>
    <x v="2"/>
    <n v="2"/>
    <n v="2.08"/>
    <s v="Budget"/>
    <n v="1.248"/>
    <n v="4.16"/>
    <n v="2.9119999999999999"/>
    <n v="0.7"/>
    <x v="2"/>
    <d v="2025-08-13T11:41:21"/>
    <d v="2025-08-13T11:41:21"/>
    <x v="7"/>
    <x v="0"/>
    <x v="0"/>
    <n v="11"/>
    <x v="0"/>
  </r>
  <r>
    <n v="9414"/>
    <s v="Steven Melendez"/>
    <x v="2"/>
    <x v="2"/>
    <n v="4"/>
    <n v="15.55"/>
    <s v="Mid-Range"/>
    <n v="9.33"/>
    <n v="62.2"/>
    <n v="52.870000000000005"/>
    <n v="0.85000000000000009"/>
    <x v="0"/>
    <d v="2025-08-13T15:50:55"/>
    <d v="2025-08-13T15:50:55"/>
    <x v="7"/>
    <x v="0"/>
    <x v="0"/>
    <n v="15"/>
    <x v="1"/>
  </r>
  <r>
    <n v="3546"/>
    <s v="Julie Hale"/>
    <x v="1"/>
    <x v="1"/>
    <n v="5"/>
    <n v="3.44"/>
    <s v="Budget"/>
    <n v="2.0640000000000001"/>
    <n v="17.2"/>
    <n v="15.135999999999999"/>
    <n v="0.88"/>
    <x v="3"/>
    <d v="2025-08-13T23:44:23"/>
    <d v="2025-08-13T23:44:23"/>
    <x v="7"/>
    <x v="0"/>
    <x v="0"/>
    <n v="23"/>
    <x v="2"/>
  </r>
  <r>
    <n v="7940"/>
    <s v="Wendy Nichols"/>
    <x v="4"/>
    <x v="1"/>
    <n v="4"/>
    <n v="3.79"/>
    <s v="Budget"/>
    <n v="2.274"/>
    <n v="15.16"/>
    <n v="12.885999999999999"/>
    <n v="0.85"/>
    <x v="1"/>
    <d v="2025-08-14T05:17:35"/>
    <d v="2025-08-14T05:17:35"/>
    <x v="7"/>
    <x v="1"/>
    <x v="0"/>
    <n v="5"/>
    <x v="0"/>
  </r>
  <r>
    <n v="9086"/>
    <s v="James Nixon"/>
    <x v="6"/>
    <x v="2"/>
    <n v="1"/>
    <n v="10.32"/>
    <s v="Mid-Range"/>
    <n v="6.1920000000000002"/>
    <n v="10.32"/>
    <n v="4.1280000000000001"/>
    <n v="0.4"/>
    <x v="1"/>
    <d v="2025-08-14T07:20:06"/>
    <d v="2025-08-14T07:20:06"/>
    <x v="7"/>
    <x v="1"/>
    <x v="0"/>
    <n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2C0BEE-10D9-4395-BCDA-F8FC26F1C20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ay type">
  <location ref="P16:Q19" firstHeaderRow="1" firstDataRow="1" firstDataCol="1"/>
  <pivotFields count="19">
    <pivotField showAll="0"/>
    <pivotField showAll="0"/>
    <pivotField showAll="0"/>
    <pivotField showAll="0">
      <items count="4">
        <item x="1"/>
        <item x="0"/>
        <item x="2"/>
        <item t="default"/>
      </items>
    </pivotField>
    <pivotField showAll="0"/>
    <pivotField numFmtId="2" showAll="0"/>
    <pivotField showAll="0"/>
    <pivotField numFmtId="2" showAll="0"/>
    <pivotField dataField="1" showAll="0"/>
    <pivotField numFmtId="2" showAll="0"/>
    <pivotField numFmtId="9" showAll="0"/>
    <pivotField showAll="0">
      <items count="5">
        <item x="0"/>
        <item x="3"/>
        <item x="2"/>
        <item x="1"/>
        <item t="default"/>
      </items>
    </pivotField>
    <pivotField numFmtId="14" showAll="0"/>
    <pivotField numFmtId="164" showAll="0"/>
    <pivotField showAll="0">
      <items count="9">
        <item x="0"/>
        <item x="1"/>
        <item x="2"/>
        <item x="3"/>
        <item x="4"/>
        <item x="5"/>
        <item x="6"/>
        <item x="7"/>
        <item t="default"/>
      </items>
    </pivotField>
    <pivotField showAll="0"/>
    <pivotField axis="axisRow" showAll="0">
      <items count="3">
        <item x="0"/>
        <item x="1"/>
        <item t="default"/>
      </items>
    </pivotField>
    <pivotField showAll="0"/>
    <pivotField showAll="0"/>
  </pivotFields>
  <rowFields count="1">
    <field x="16"/>
  </rowFields>
  <rowItems count="3">
    <i>
      <x/>
    </i>
    <i>
      <x v="1"/>
    </i>
    <i t="grand">
      <x/>
    </i>
  </rowItems>
  <colItems count="1">
    <i/>
  </colItems>
  <dataFields count="1">
    <dataField name="Sum of Total Sales" fld="8" baseField="0" baseItem="0" numFmtId="166"/>
  </dataFields>
  <formats count="6">
    <format dxfId="43">
      <pivotArea type="all" dataOnly="0" outline="0" fieldPosition="0"/>
    </format>
    <format dxfId="44">
      <pivotArea outline="0" collapsedLevelsAreSubtotals="1" fieldPosition="0"/>
    </format>
    <format dxfId="45">
      <pivotArea field="16" type="button" dataOnly="0" labelOnly="1" outline="0" axis="axisRow" fieldPosition="0"/>
    </format>
    <format dxfId="46">
      <pivotArea dataOnly="0" labelOnly="1" fieldPosition="0">
        <references count="1">
          <reference field="16" count="0"/>
        </references>
      </pivotArea>
    </format>
    <format dxfId="47">
      <pivotArea dataOnly="0" labelOnly="1" grandRow="1" outline="0" fieldPosition="0"/>
    </format>
    <format dxfId="48">
      <pivotArea dataOnly="0" labelOnly="1" outline="0" axis="axisValues" fieldPosition="0"/>
    </format>
  </formats>
  <chartFormats count="3">
    <chartFormat chart="20" format="34" series="1">
      <pivotArea type="data" outline="0" fieldPosition="0">
        <references count="1">
          <reference field="4294967294" count="1" selected="0">
            <x v="0"/>
          </reference>
        </references>
      </pivotArea>
    </chartFormat>
    <chartFormat chart="20" format="35">
      <pivotArea type="data" outline="0" fieldPosition="0">
        <references count="2">
          <reference field="4294967294" count="1" selected="0">
            <x v="0"/>
          </reference>
          <reference field="16" count="1" selected="0">
            <x v="0"/>
          </reference>
        </references>
      </pivotArea>
    </chartFormat>
    <chartFormat chart="20" format="36">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FB4E73-B1D1-4E0E-8F34-973EADDC297B}"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Item">
  <location ref="A16:B26" firstHeaderRow="1" firstDataRow="1" firstDataCol="1"/>
  <pivotFields count="19">
    <pivotField showAll="0"/>
    <pivotField showAll="0"/>
    <pivotField axis="axisRow" showAll="0" sortType="descending">
      <items count="10">
        <item x="5"/>
        <item x="0"/>
        <item x="4"/>
        <item x="2"/>
        <item x="1"/>
        <item x="8"/>
        <item x="7"/>
        <item x="3"/>
        <item x="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dataField="1" showAll="0"/>
    <pivotField numFmtId="2" showAll="0"/>
    <pivotField showAll="0"/>
    <pivotField numFmtId="2" showAll="0"/>
    <pivotField showAll="0"/>
    <pivotField numFmtId="2" showAll="0"/>
    <pivotField numFmtId="9" showAll="0"/>
    <pivotField showAll="0">
      <items count="5">
        <item x="0"/>
        <item x="3"/>
        <item x="2"/>
        <item x="1"/>
        <item t="default"/>
      </items>
    </pivotField>
    <pivotField numFmtId="14" showAll="0"/>
    <pivotField numFmtId="164" showAll="0"/>
    <pivotField showAll="0">
      <items count="9">
        <item x="0"/>
        <item x="1"/>
        <item x="2"/>
        <item x="3"/>
        <item x="4"/>
        <item x="5"/>
        <item x="6"/>
        <item x="7"/>
        <item t="default"/>
      </items>
    </pivotField>
    <pivotField showAll="0"/>
    <pivotField showAll="0"/>
    <pivotField showAll="0"/>
    <pivotField showAll="0"/>
  </pivotFields>
  <rowFields count="1">
    <field x="2"/>
  </rowFields>
  <rowItems count="10">
    <i>
      <x v="6"/>
    </i>
    <i>
      <x/>
    </i>
    <i>
      <x v="3"/>
    </i>
    <i>
      <x v="1"/>
    </i>
    <i>
      <x v="2"/>
    </i>
    <i>
      <x v="7"/>
    </i>
    <i>
      <x v="5"/>
    </i>
    <i>
      <x v="8"/>
    </i>
    <i>
      <x v="4"/>
    </i>
    <i t="grand">
      <x/>
    </i>
  </rowItems>
  <colItems count="1">
    <i/>
  </colItems>
  <dataFields count="1">
    <dataField name="Sum of Quantity" fld="4" baseField="0" baseItem="0"/>
  </dataFields>
  <chartFormats count="10">
    <chartFormat chart="26" format="102" series="1">
      <pivotArea type="data" outline="0" fieldPosition="0">
        <references count="1">
          <reference field="4294967294" count="1" selected="0">
            <x v="0"/>
          </reference>
        </references>
      </pivotArea>
    </chartFormat>
    <chartFormat chart="26" format="103">
      <pivotArea type="data" outline="0" fieldPosition="0">
        <references count="2">
          <reference field="4294967294" count="1" selected="0">
            <x v="0"/>
          </reference>
          <reference field="2" count="1" selected="0">
            <x v="6"/>
          </reference>
        </references>
      </pivotArea>
    </chartFormat>
    <chartFormat chart="26" format="104">
      <pivotArea type="data" outline="0" fieldPosition="0">
        <references count="2">
          <reference field="4294967294" count="1" selected="0">
            <x v="0"/>
          </reference>
          <reference field="2" count="1" selected="0">
            <x v="0"/>
          </reference>
        </references>
      </pivotArea>
    </chartFormat>
    <chartFormat chart="26" format="105">
      <pivotArea type="data" outline="0" fieldPosition="0">
        <references count="2">
          <reference field="4294967294" count="1" selected="0">
            <x v="0"/>
          </reference>
          <reference field="2" count="1" selected="0">
            <x v="3"/>
          </reference>
        </references>
      </pivotArea>
    </chartFormat>
    <chartFormat chart="26" format="106">
      <pivotArea type="data" outline="0" fieldPosition="0">
        <references count="2">
          <reference field="4294967294" count="1" selected="0">
            <x v="0"/>
          </reference>
          <reference field="2" count="1" selected="0">
            <x v="1"/>
          </reference>
        </references>
      </pivotArea>
    </chartFormat>
    <chartFormat chart="26" format="107">
      <pivotArea type="data" outline="0" fieldPosition="0">
        <references count="2">
          <reference field="4294967294" count="1" selected="0">
            <x v="0"/>
          </reference>
          <reference field="2" count="1" selected="0">
            <x v="2"/>
          </reference>
        </references>
      </pivotArea>
    </chartFormat>
    <chartFormat chart="26" format="108">
      <pivotArea type="data" outline="0" fieldPosition="0">
        <references count="2">
          <reference field="4294967294" count="1" selected="0">
            <x v="0"/>
          </reference>
          <reference field="2" count="1" selected="0">
            <x v="7"/>
          </reference>
        </references>
      </pivotArea>
    </chartFormat>
    <chartFormat chart="26" format="109">
      <pivotArea type="data" outline="0" fieldPosition="0">
        <references count="2">
          <reference field="4294967294" count="1" selected="0">
            <x v="0"/>
          </reference>
          <reference field="2" count="1" selected="0">
            <x v="5"/>
          </reference>
        </references>
      </pivotArea>
    </chartFormat>
    <chartFormat chart="26" format="110">
      <pivotArea type="data" outline="0" fieldPosition="0">
        <references count="2">
          <reference field="4294967294" count="1" selected="0">
            <x v="0"/>
          </reference>
          <reference field="2" count="1" selected="0">
            <x v="8"/>
          </reference>
        </references>
      </pivotArea>
    </chartFormat>
    <chartFormat chart="26" format="11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CB2B86-9C7E-4873-9A73-EEACE4FE91AB}"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Time period">
  <location ref="K2:L6" firstHeaderRow="1" firstDataRow="1" firstDataCol="1"/>
  <pivotFields count="19">
    <pivotField showAll="0"/>
    <pivotField showAll="0"/>
    <pivotField showAll="0"/>
    <pivotField showAll="0">
      <items count="4">
        <item x="1"/>
        <item x="0"/>
        <item x="2"/>
        <item t="default"/>
      </items>
    </pivotField>
    <pivotField showAll="0"/>
    <pivotField numFmtId="2" showAll="0"/>
    <pivotField showAll="0"/>
    <pivotField numFmtId="2" showAll="0"/>
    <pivotField dataField="1" showAll="0"/>
    <pivotField numFmtId="2" showAll="0"/>
    <pivotField numFmtId="9" showAll="0"/>
    <pivotField showAll="0">
      <items count="5">
        <item x="0"/>
        <item x="3"/>
        <item x="2"/>
        <item x="1"/>
        <item t="default"/>
      </items>
    </pivotField>
    <pivotField numFmtId="14" showAll="0"/>
    <pivotField numFmtId="164" showAll="0"/>
    <pivotField showAll="0">
      <items count="9">
        <item x="0"/>
        <item x="1"/>
        <item x="2"/>
        <item x="3"/>
        <item x="4"/>
        <item x="5"/>
        <item x="6"/>
        <item x="7"/>
        <item t="default"/>
      </items>
    </pivotField>
    <pivotField showAll="0"/>
    <pivotField showAll="0"/>
    <pivotField showAll="0"/>
    <pivotField axis="axisRow" showAll="0" sortType="ascending">
      <items count="4">
        <item x="1"/>
        <item x="2"/>
        <item x="0"/>
        <item t="default"/>
      </items>
    </pivotField>
  </pivotFields>
  <rowFields count="1">
    <field x="18"/>
  </rowFields>
  <rowItems count="4">
    <i>
      <x/>
    </i>
    <i>
      <x v="1"/>
    </i>
    <i>
      <x v="2"/>
    </i>
    <i t="grand">
      <x/>
    </i>
  </rowItems>
  <colItems count="1">
    <i/>
  </colItems>
  <dataFields count="1">
    <dataField name="Sum of Total Sales" fld="8" baseField="0" baseItem="0" numFmtId="166"/>
  </dataFields>
  <formats count="6">
    <format dxfId="37">
      <pivotArea type="all" dataOnly="0" outline="0" fieldPosition="0"/>
    </format>
    <format dxfId="38">
      <pivotArea outline="0" collapsedLevelsAreSubtotals="1" fieldPosition="0"/>
    </format>
    <format dxfId="39">
      <pivotArea field="18" type="button" dataOnly="0" labelOnly="1" outline="0" axis="axisRow" fieldPosition="0"/>
    </format>
    <format dxfId="40">
      <pivotArea dataOnly="0" labelOnly="1" fieldPosition="0">
        <references count="1">
          <reference field="18" count="0"/>
        </references>
      </pivotArea>
    </format>
    <format dxfId="41">
      <pivotArea dataOnly="0" labelOnly="1" grandRow="1" outline="0" fieldPosition="0"/>
    </format>
    <format dxfId="42">
      <pivotArea dataOnly="0" labelOnly="1" outline="0" axis="axisValues" fieldPosition="0"/>
    </format>
  </formats>
  <chartFormats count="4">
    <chartFormat chart="25" format="42" series="1">
      <pivotArea type="data" outline="0" fieldPosition="0">
        <references count="1">
          <reference field="4294967294" count="1" selected="0">
            <x v="0"/>
          </reference>
        </references>
      </pivotArea>
    </chartFormat>
    <chartFormat chart="25" format="43">
      <pivotArea type="data" outline="0" fieldPosition="0">
        <references count="2">
          <reference field="4294967294" count="1" selected="0">
            <x v="0"/>
          </reference>
          <reference field="18" count="1" selected="0">
            <x v="0"/>
          </reference>
        </references>
      </pivotArea>
    </chartFormat>
    <chartFormat chart="25" format="44">
      <pivotArea type="data" outline="0" fieldPosition="0">
        <references count="2">
          <reference field="4294967294" count="1" selected="0">
            <x v="0"/>
          </reference>
          <reference field="18" count="1" selected="0">
            <x v="1"/>
          </reference>
        </references>
      </pivotArea>
    </chartFormat>
    <chartFormat chart="25" format="45">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A58F2F-FEEB-4475-87CC-738C0DA1191D}"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
  <location ref="D16:E24" firstHeaderRow="1" firstDataRow="1" firstDataCol="1"/>
  <pivotFields count="19">
    <pivotField showAll="0"/>
    <pivotField showAll="0"/>
    <pivotField showAll="0"/>
    <pivotField showAll="0">
      <items count="4">
        <item x="1"/>
        <item x="0"/>
        <item x="2"/>
        <item t="default"/>
      </items>
    </pivotField>
    <pivotField showAll="0"/>
    <pivotField numFmtId="2" showAll="0"/>
    <pivotField showAll="0"/>
    <pivotField numFmtId="2" showAll="0"/>
    <pivotField showAll="0"/>
    <pivotField dataField="1" numFmtId="2" showAll="0"/>
    <pivotField numFmtId="9" showAll="0"/>
    <pivotField showAll="0">
      <items count="5">
        <item x="0"/>
        <item x="3"/>
        <item x="2"/>
        <item x="1"/>
        <item t="default"/>
      </items>
    </pivotField>
    <pivotField numFmtId="14" showAll="0"/>
    <pivotField numFmtId="164" showAll="0"/>
    <pivotField showAll="0">
      <items count="9">
        <item x="0"/>
        <item x="1"/>
        <item x="2"/>
        <item x="3"/>
        <item x="4"/>
        <item x="5"/>
        <item x="6"/>
        <item x="7"/>
        <item t="default"/>
      </items>
    </pivotField>
    <pivotField axis="axisRow" showAll="0">
      <items count="8">
        <item x="4"/>
        <item x="6"/>
        <item x="5"/>
        <item x="0"/>
        <item x="1"/>
        <item x="2"/>
        <item x="3"/>
        <item t="default"/>
      </items>
    </pivotField>
    <pivotField showAll="0"/>
    <pivotField showAll="0"/>
    <pivotField showAll="0"/>
  </pivotFields>
  <rowFields count="1">
    <field x="15"/>
  </rowFields>
  <rowItems count="8">
    <i>
      <x/>
    </i>
    <i>
      <x v="1"/>
    </i>
    <i>
      <x v="2"/>
    </i>
    <i>
      <x v="3"/>
    </i>
    <i>
      <x v="4"/>
    </i>
    <i>
      <x v="5"/>
    </i>
    <i>
      <x v="6"/>
    </i>
    <i t="grand">
      <x/>
    </i>
  </rowItems>
  <colItems count="1">
    <i/>
  </colItems>
  <dataFields count="1">
    <dataField name="Sum of Profit" fld="9" baseField="0" baseItem="0" numFmtId="166"/>
  </dataFields>
  <formats count="6">
    <format dxfId="31">
      <pivotArea type="all" dataOnly="0" outline="0" fieldPosition="0"/>
    </format>
    <format dxfId="32">
      <pivotArea outline="0" collapsedLevelsAreSubtotals="1" fieldPosition="0"/>
    </format>
    <format dxfId="33">
      <pivotArea field="15" type="button" dataOnly="0" labelOnly="1" outline="0" axis="axisRow" fieldPosition="0"/>
    </format>
    <format dxfId="34">
      <pivotArea dataOnly="0" labelOnly="1" fieldPosition="0">
        <references count="1">
          <reference field="15" count="0"/>
        </references>
      </pivotArea>
    </format>
    <format dxfId="35">
      <pivotArea dataOnly="0" labelOnly="1" grandRow="1" outline="0"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DB5300-3713-4280-87DB-11BAAC9EFAF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M16:N20" firstHeaderRow="1" firstDataRow="1" firstDataCol="1"/>
  <pivotFields count="19">
    <pivotField showAll="0"/>
    <pivotField showAll="0"/>
    <pivotField showAll="0"/>
    <pivotField axis="axisRow" showAll="0">
      <items count="4">
        <item x="1"/>
        <item x="0"/>
        <item x="2"/>
        <item t="default"/>
      </items>
    </pivotField>
    <pivotField dataField="1" showAll="0"/>
    <pivotField numFmtId="2" showAll="0"/>
    <pivotField showAll="0"/>
    <pivotField numFmtId="2" showAll="0"/>
    <pivotField showAll="0"/>
    <pivotField numFmtId="2" showAll="0"/>
    <pivotField numFmtId="9" showAll="0"/>
    <pivotField showAll="0">
      <items count="5">
        <item x="0"/>
        <item x="3"/>
        <item x="2"/>
        <item x="1"/>
        <item t="default"/>
      </items>
    </pivotField>
    <pivotField numFmtId="14" showAll="0"/>
    <pivotField numFmtId="164" showAll="0"/>
    <pivotField showAll="0">
      <items count="9">
        <item x="0"/>
        <item x="1"/>
        <item x="2"/>
        <item x="3"/>
        <item x="4"/>
        <item x="5"/>
        <item x="6"/>
        <item x="7"/>
        <item t="default"/>
      </items>
    </pivotField>
    <pivotField showAll="0"/>
    <pivotField showAll="0"/>
    <pivotField showAll="0"/>
    <pivotField showAll="0"/>
  </pivotFields>
  <rowFields count="1">
    <field x="3"/>
  </rowFields>
  <rowItems count="4">
    <i>
      <x/>
    </i>
    <i>
      <x v="1"/>
    </i>
    <i>
      <x v="2"/>
    </i>
    <i t="grand">
      <x/>
    </i>
  </rowItems>
  <colItems count="1">
    <i/>
  </colItems>
  <dataFields count="1">
    <dataField name="Sum of Quantity" fld="4" baseField="0" baseItem="0"/>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A234B5-277A-4B80-B526-E321698B45A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Items">
  <location ref="H1:I7" firstHeaderRow="1" firstDataRow="1" firstDataCol="1"/>
  <pivotFields count="19">
    <pivotField showAll="0"/>
    <pivotField showAll="0"/>
    <pivotField axis="axisRow" showAll="0" measureFilter="1" sortType="ascending">
      <items count="10">
        <item x="5"/>
        <item x="0"/>
        <item x="4"/>
        <item x="2"/>
        <item x="1"/>
        <item x="8"/>
        <item x="7"/>
        <item x="3"/>
        <item x="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numFmtId="2" showAll="0"/>
    <pivotField showAll="0"/>
    <pivotField numFmtId="2" showAll="0"/>
    <pivotField dataField="1" showAll="0"/>
    <pivotField numFmtId="2" showAll="0"/>
    <pivotField numFmtId="9" showAll="0"/>
    <pivotField showAll="0">
      <items count="5">
        <item x="0"/>
        <item x="3"/>
        <item x="2"/>
        <item x="1"/>
        <item t="default"/>
      </items>
    </pivotField>
    <pivotField numFmtId="14" showAll="0"/>
    <pivotField numFmtId="164" showAll="0"/>
    <pivotField showAll="0">
      <items count="9">
        <item x="0"/>
        <item x="1"/>
        <item x="2"/>
        <item x="3"/>
        <item x="4"/>
        <item x="5"/>
        <item x="6"/>
        <item x="7"/>
        <item t="default"/>
      </items>
    </pivotField>
    <pivotField showAll="0"/>
    <pivotField showAll="0"/>
    <pivotField showAll="0"/>
    <pivotField showAll="0"/>
  </pivotFields>
  <rowFields count="1">
    <field x="2"/>
  </rowFields>
  <rowItems count="6">
    <i>
      <x v="2"/>
    </i>
    <i>
      <x v="5"/>
    </i>
    <i>
      <x v="3"/>
    </i>
    <i>
      <x/>
    </i>
    <i>
      <x v="6"/>
    </i>
    <i t="grand">
      <x/>
    </i>
  </rowItems>
  <colItems count="1">
    <i/>
  </colItems>
  <dataFields count="1">
    <dataField name="Sum of Total Sales" fld="8" baseField="0" baseItem="0" numFmtId="166"/>
  </dataFields>
  <formats count="6">
    <format dxfId="24">
      <pivotArea type="all" dataOnly="0" outline="0" fieldPosition="0"/>
    </format>
    <format dxfId="25">
      <pivotArea outline="0" collapsedLevelsAreSubtotals="1" fieldPosition="0"/>
    </format>
    <format dxfId="26">
      <pivotArea field="2" type="button" dataOnly="0" labelOnly="1" outline="0" axis="axisRow" fieldPosition="0"/>
    </format>
    <format dxfId="27">
      <pivotArea dataOnly="0" labelOnly="1" fieldPosition="0">
        <references count="1">
          <reference field="2" count="0"/>
        </references>
      </pivotArea>
    </format>
    <format dxfId="28">
      <pivotArea dataOnly="0" labelOnly="1" grandRow="1" outline="0" fieldPosition="0"/>
    </format>
    <format dxfId="29">
      <pivotArea dataOnly="0" labelOnly="1" outline="0" axis="axisValues" fieldPosition="0"/>
    </format>
  </formats>
  <chartFormats count="10">
    <chartFormat chart="34" format="102" series="1">
      <pivotArea type="data" outline="0" fieldPosition="0">
        <references count="1">
          <reference field="4294967294" count="1" selected="0">
            <x v="0"/>
          </reference>
        </references>
      </pivotArea>
    </chartFormat>
    <chartFormat chart="34" format="103">
      <pivotArea type="data" outline="0" fieldPosition="0">
        <references count="2">
          <reference field="4294967294" count="1" selected="0">
            <x v="0"/>
          </reference>
          <reference field="2" count="1" selected="0">
            <x v="4"/>
          </reference>
        </references>
      </pivotArea>
    </chartFormat>
    <chartFormat chart="34" format="104">
      <pivotArea type="data" outline="0" fieldPosition="0">
        <references count="2">
          <reference field="4294967294" count="1" selected="0">
            <x v="0"/>
          </reference>
          <reference field="2" count="1" selected="0">
            <x v="8"/>
          </reference>
        </references>
      </pivotArea>
    </chartFormat>
    <chartFormat chart="34" format="105">
      <pivotArea type="data" outline="0" fieldPosition="0">
        <references count="2">
          <reference field="4294967294" count="1" selected="0">
            <x v="0"/>
          </reference>
          <reference field="2" count="1" selected="0">
            <x v="7"/>
          </reference>
        </references>
      </pivotArea>
    </chartFormat>
    <chartFormat chart="34" format="106">
      <pivotArea type="data" outline="0" fieldPosition="0">
        <references count="2">
          <reference field="4294967294" count="1" selected="0">
            <x v="0"/>
          </reference>
          <reference field="2" count="1" selected="0">
            <x v="1"/>
          </reference>
        </references>
      </pivotArea>
    </chartFormat>
    <chartFormat chart="34" format="107">
      <pivotArea type="data" outline="0" fieldPosition="0">
        <references count="2">
          <reference field="4294967294" count="1" selected="0">
            <x v="0"/>
          </reference>
          <reference field="2" count="1" selected="0">
            <x v="2"/>
          </reference>
        </references>
      </pivotArea>
    </chartFormat>
    <chartFormat chart="34" format="108">
      <pivotArea type="data" outline="0" fieldPosition="0">
        <references count="2">
          <reference field="4294967294" count="1" selected="0">
            <x v="0"/>
          </reference>
          <reference field="2" count="1" selected="0">
            <x v="5"/>
          </reference>
        </references>
      </pivotArea>
    </chartFormat>
    <chartFormat chart="34" format="109">
      <pivotArea type="data" outline="0" fieldPosition="0">
        <references count="2">
          <reference field="4294967294" count="1" selected="0">
            <x v="0"/>
          </reference>
          <reference field="2" count="1" selected="0">
            <x v="3"/>
          </reference>
        </references>
      </pivotArea>
    </chartFormat>
    <chartFormat chart="34" format="110">
      <pivotArea type="data" outline="0" fieldPosition="0">
        <references count="2">
          <reference field="4294967294" count="1" selected="0">
            <x v="0"/>
          </reference>
          <reference field="2" count="1" selected="0">
            <x v="0"/>
          </reference>
        </references>
      </pivotArea>
    </chartFormat>
    <chartFormat chart="34" format="11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FCE49D-6686-455B-9FAD-16ACEBBFA78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Month">
  <location ref="A2:B11" firstHeaderRow="1" firstDataRow="1" firstDataCol="1"/>
  <pivotFields count="19">
    <pivotField showAll="0"/>
    <pivotField showAll="0"/>
    <pivotField showAll="0"/>
    <pivotField showAll="0">
      <items count="4">
        <item x="1"/>
        <item x="0"/>
        <item x="2"/>
        <item t="default"/>
      </items>
    </pivotField>
    <pivotField showAll="0"/>
    <pivotField numFmtId="2" showAll="0"/>
    <pivotField showAll="0"/>
    <pivotField numFmtId="2" showAll="0"/>
    <pivotField dataField="1" showAll="0"/>
    <pivotField numFmtId="2" showAll="0"/>
    <pivotField numFmtId="9" showAll="0"/>
    <pivotField showAll="0">
      <items count="5">
        <item x="0"/>
        <item x="3"/>
        <item x="2"/>
        <item x="1"/>
        <item t="default"/>
      </items>
    </pivotField>
    <pivotField numFmtId="14" showAll="0"/>
    <pivotField numFmtId="164" showAll="0"/>
    <pivotField axis="axisRow" showAll="0">
      <items count="9">
        <item x="0"/>
        <item x="1"/>
        <item x="2"/>
        <item x="3"/>
        <item x="4"/>
        <item x="5"/>
        <item x="6"/>
        <item x="7"/>
        <item t="default"/>
      </items>
    </pivotField>
    <pivotField showAll="0"/>
    <pivotField showAll="0"/>
    <pivotField showAll="0"/>
    <pivotField showAll="0"/>
  </pivotFields>
  <rowFields count="1">
    <field x="14"/>
  </rowFields>
  <rowItems count="9">
    <i>
      <x/>
    </i>
    <i>
      <x v="1"/>
    </i>
    <i>
      <x v="2"/>
    </i>
    <i>
      <x v="3"/>
    </i>
    <i>
      <x v="4"/>
    </i>
    <i>
      <x v="5"/>
    </i>
    <i>
      <x v="6"/>
    </i>
    <i>
      <x v="7"/>
    </i>
    <i t="grand">
      <x/>
    </i>
  </rowItems>
  <colItems count="1">
    <i/>
  </colItems>
  <dataFields count="1">
    <dataField name="Sum of Total Sales" fld="8" baseField="0" baseItem="0" numFmtId="166"/>
  </dataFields>
  <formats count="6">
    <format dxfId="18">
      <pivotArea type="all" dataOnly="0" outline="0" fieldPosition="0"/>
    </format>
    <format dxfId="19">
      <pivotArea outline="0" collapsedLevelsAreSubtotals="1" fieldPosition="0"/>
    </format>
    <format dxfId="20">
      <pivotArea field="14" type="button" dataOnly="0" labelOnly="1" outline="0" axis="axisRow" fieldPosition="0"/>
    </format>
    <format dxfId="21">
      <pivotArea dataOnly="0" labelOnly="1" fieldPosition="0">
        <references count="1">
          <reference field="14" count="0"/>
        </references>
      </pivotArea>
    </format>
    <format dxfId="22">
      <pivotArea dataOnly="0" labelOnly="1" grandRow="1" outline="0" fieldPosition="0"/>
    </format>
    <format dxfId="23">
      <pivotArea dataOnly="0" labelOnly="1" outline="0" axis="axisValues" fieldPosition="0"/>
    </format>
  </formats>
  <chartFormats count="8">
    <chartFormat chart="35" format="106" series="1">
      <pivotArea type="data" outline="0" fieldPosition="0">
        <references count="1">
          <reference field="4294967294" count="1" selected="0">
            <x v="0"/>
          </reference>
        </references>
      </pivotArea>
    </chartFormat>
    <chartFormat chart="35" format="107">
      <pivotArea type="data" outline="0" fieldPosition="0">
        <references count="2">
          <reference field="4294967294" count="1" selected="0">
            <x v="0"/>
          </reference>
          <reference field="14" count="1" selected="0">
            <x v="1"/>
          </reference>
        </references>
      </pivotArea>
    </chartFormat>
    <chartFormat chart="35" format="108">
      <pivotArea type="data" outline="0" fieldPosition="0">
        <references count="2">
          <reference field="4294967294" count="1" selected="0">
            <x v="0"/>
          </reference>
          <reference field="14" count="1" selected="0">
            <x v="2"/>
          </reference>
        </references>
      </pivotArea>
    </chartFormat>
    <chartFormat chart="35" format="109">
      <pivotArea type="data" outline="0" fieldPosition="0">
        <references count="2">
          <reference field="4294967294" count="1" selected="0">
            <x v="0"/>
          </reference>
          <reference field="14" count="1" selected="0">
            <x v="3"/>
          </reference>
        </references>
      </pivotArea>
    </chartFormat>
    <chartFormat chart="35" format="110">
      <pivotArea type="data" outline="0" fieldPosition="0">
        <references count="2">
          <reference field="4294967294" count="1" selected="0">
            <x v="0"/>
          </reference>
          <reference field="14" count="1" selected="0">
            <x v="4"/>
          </reference>
        </references>
      </pivotArea>
    </chartFormat>
    <chartFormat chart="35" format="111">
      <pivotArea type="data" outline="0" fieldPosition="0">
        <references count="2">
          <reference field="4294967294" count="1" selected="0">
            <x v="0"/>
          </reference>
          <reference field="14" count="1" selected="0">
            <x v="5"/>
          </reference>
        </references>
      </pivotArea>
    </chartFormat>
    <chartFormat chart="35" format="112">
      <pivotArea type="data" outline="0" fieldPosition="0">
        <references count="2">
          <reference field="4294967294" count="1" selected="0">
            <x v="0"/>
          </reference>
          <reference field="14" count="1" selected="0">
            <x v="6"/>
          </reference>
        </references>
      </pivotArea>
    </chartFormat>
    <chartFormat chart="35" format="113">
      <pivotArea type="data" outline="0" fieldPosition="0">
        <references count="2">
          <reference field="4294967294" count="1" selected="0">
            <x v="0"/>
          </reference>
          <reference field="1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20267F-6E64-4AA7-97FD-E43E271766BF}"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th">
  <location ref="J16:K25" firstHeaderRow="1" firstDataRow="1" firstDataCol="1"/>
  <pivotFields count="19">
    <pivotField showAll="0"/>
    <pivotField showAll="0"/>
    <pivotField showAll="0"/>
    <pivotField showAll="0">
      <items count="4">
        <item x="1"/>
        <item x="0"/>
        <item x="2"/>
        <item t="default"/>
      </items>
    </pivotField>
    <pivotField showAll="0"/>
    <pivotField numFmtId="2" showAll="0"/>
    <pivotField showAll="0"/>
    <pivotField numFmtId="2" showAll="0"/>
    <pivotField showAll="0"/>
    <pivotField dataField="1" numFmtId="2" showAll="0"/>
    <pivotField numFmtId="9" showAll="0"/>
    <pivotField showAll="0">
      <items count="5">
        <item x="0"/>
        <item x="3"/>
        <item x="2"/>
        <item x="1"/>
        <item t="default"/>
      </items>
    </pivotField>
    <pivotField numFmtId="14" showAll="0"/>
    <pivotField numFmtId="164" showAll="0"/>
    <pivotField axis="axisRow" showAll="0">
      <items count="9">
        <item x="0"/>
        <item x="1"/>
        <item x="2"/>
        <item x="3"/>
        <item x="4"/>
        <item x="5"/>
        <item x="6"/>
        <item x="7"/>
        <item t="default"/>
      </items>
    </pivotField>
    <pivotField showAll="0"/>
    <pivotField showAll="0"/>
    <pivotField showAll="0"/>
    <pivotField showAll="0"/>
  </pivotFields>
  <rowFields count="1">
    <field x="14"/>
  </rowFields>
  <rowItems count="9">
    <i>
      <x/>
    </i>
    <i>
      <x v="1"/>
    </i>
    <i>
      <x v="2"/>
    </i>
    <i>
      <x v="3"/>
    </i>
    <i>
      <x v="4"/>
    </i>
    <i>
      <x v="5"/>
    </i>
    <i>
      <x v="6"/>
    </i>
    <i>
      <x v="7"/>
    </i>
    <i t="grand">
      <x/>
    </i>
  </rowItems>
  <colItems count="1">
    <i/>
  </colItems>
  <dataFields count="1">
    <dataField name="Sum of Profit" fld="9" baseField="0" baseItem="0" numFmtId="166"/>
  </dataFields>
  <formats count="6">
    <format dxfId="12">
      <pivotArea type="all" dataOnly="0" outline="0" fieldPosition="0"/>
    </format>
    <format dxfId="13">
      <pivotArea outline="0" collapsedLevelsAreSubtotals="1" fieldPosition="0"/>
    </format>
    <format dxfId="14">
      <pivotArea field="14" type="button" dataOnly="0" labelOnly="1" outline="0" axis="axisRow" fieldPosition="0"/>
    </format>
    <format dxfId="15">
      <pivotArea dataOnly="0" labelOnly="1" fieldPosition="0">
        <references count="1">
          <reference field="14" count="0"/>
        </references>
      </pivotArea>
    </format>
    <format dxfId="16">
      <pivotArea dataOnly="0" labelOnly="1" grandRow="1" outline="0"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491EAF-6AFE-4882-B410-64629D7A2FD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ategory">
  <location ref="D3:E7" firstHeaderRow="1" firstDataRow="1" firstDataCol="1"/>
  <pivotFields count="19">
    <pivotField showAll="0"/>
    <pivotField showAll="0"/>
    <pivotField showAll="0"/>
    <pivotField axis="axisRow" showAll="0">
      <items count="4">
        <item x="1"/>
        <item x="0"/>
        <item x="2"/>
        <item t="default"/>
      </items>
    </pivotField>
    <pivotField showAll="0"/>
    <pivotField numFmtId="2" showAll="0"/>
    <pivotField showAll="0"/>
    <pivotField numFmtId="2" showAll="0"/>
    <pivotField dataField="1" showAll="0"/>
    <pivotField numFmtId="2" showAll="0"/>
    <pivotField numFmtId="9" showAll="0"/>
    <pivotField showAll="0">
      <items count="5">
        <item x="0"/>
        <item x="3"/>
        <item x="2"/>
        <item x="1"/>
        <item t="default"/>
      </items>
    </pivotField>
    <pivotField numFmtId="14" showAll="0"/>
    <pivotField numFmtId="164" showAll="0"/>
    <pivotField showAll="0">
      <items count="9">
        <item x="0"/>
        <item x="1"/>
        <item x="2"/>
        <item x="3"/>
        <item x="4"/>
        <item x="5"/>
        <item x="6"/>
        <item x="7"/>
        <item t="default"/>
      </items>
    </pivotField>
    <pivotField showAll="0"/>
    <pivotField showAll="0"/>
    <pivotField showAll="0"/>
    <pivotField showAll="0"/>
  </pivotFields>
  <rowFields count="1">
    <field x="3"/>
  </rowFields>
  <rowItems count="4">
    <i>
      <x/>
    </i>
    <i>
      <x v="1"/>
    </i>
    <i>
      <x v="2"/>
    </i>
    <i t="grand">
      <x/>
    </i>
  </rowItems>
  <colItems count="1">
    <i/>
  </colItems>
  <dataFields count="1">
    <dataField name="Sum of Total Sales" fld="8" baseField="0" baseItem="0" numFmtId="166"/>
  </dataFields>
  <formats count="6">
    <format dxfId="60">
      <pivotArea type="all" dataOnly="0" outline="0" fieldPosition="0"/>
    </format>
    <format dxfId="59">
      <pivotArea outline="0" collapsedLevelsAreSubtotals="1" fieldPosition="0"/>
    </format>
    <format dxfId="58">
      <pivotArea field="3" type="button" dataOnly="0" labelOnly="1" outline="0" axis="axisRow" fieldPosition="0"/>
    </format>
    <format dxfId="57">
      <pivotArea dataOnly="0" labelOnly="1" fieldPosition="0">
        <references count="1">
          <reference field="3" count="0"/>
        </references>
      </pivotArea>
    </format>
    <format dxfId="56">
      <pivotArea dataOnly="0" labelOnly="1" grandRow="1" outline="0" fieldPosition="0"/>
    </format>
    <format dxfId="55">
      <pivotArea dataOnly="0" labelOnly="1" outline="0" axis="axisValues" fieldPosition="0"/>
    </format>
  </formats>
  <chartFormats count="4">
    <chartFormat chart="19" format="45" series="1">
      <pivotArea type="data" outline="0" fieldPosition="0">
        <references count="1">
          <reference field="4294967294" count="1" selected="0">
            <x v="0"/>
          </reference>
        </references>
      </pivotArea>
    </chartFormat>
    <chartFormat chart="19" format="46">
      <pivotArea type="data" outline="0" fieldPosition="0">
        <references count="2">
          <reference field="4294967294" count="1" selected="0">
            <x v="0"/>
          </reference>
          <reference field="3" count="1" selected="0">
            <x v="0"/>
          </reference>
        </references>
      </pivotArea>
    </chartFormat>
    <chartFormat chart="19" format="47">
      <pivotArea type="data" outline="0" fieldPosition="0">
        <references count="2">
          <reference field="4294967294" count="1" selected="0">
            <x v="0"/>
          </reference>
          <reference field="3" count="1" selected="0">
            <x v="1"/>
          </reference>
        </references>
      </pivotArea>
    </chartFormat>
    <chartFormat chart="19" format="4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A16FF80-D260-469F-AC62-84AE039797EC}"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ayment method">
  <location ref="N2:O7" firstHeaderRow="1" firstDataRow="1" firstDataCol="1"/>
  <pivotFields count="19">
    <pivotField showAll="0"/>
    <pivotField showAll="0"/>
    <pivotField showAll="0"/>
    <pivotField showAll="0">
      <items count="4">
        <item x="1"/>
        <item x="0"/>
        <item x="2"/>
        <item t="default"/>
      </items>
    </pivotField>
    <pivotField showAll="0"/>
    <pivotField numFmtId="2" showAll="0"/>
    <pivotField showAll="0"/>
    <pivotField numFmtId="2" showAll="0"/>
    <pivotField dataField="1" showAll="0"/>
    <pivotField numFmtId="2" showAll="0"/>
    <pivotField numFmtId="9" showAll="0"/>
    <pivotField axis="axisRow" showAll="0">
      <items count="5">
        <item x="0"/>
        <item x="3"/>
        <item x="2"/>
        <item x="1"/>
        <item t="default"/>
      </items>
    </pivotField>
    <pivotField numFmtId="14" showAll="0"/>
    <pivotField numFmtId="164" showAll="0"/>
    <pivotField showAll="0">
      <items count="9">
        <item x="0"/>
        <item x="1"/>
        <item x="2"/>
        <item x="3"/>
        <item x="4"/>
        <item x="5"/>
        <item x="6"/>
        <item x="7"/>
        <item t="default"/>
      </items>
    </pivotField>
    <pivotField showAll="0"/>
    <pivotField showAll="0"/>
    <pivotField showAll="0"/>
    <pivotField showAll="0"/>
  </pivotFields>
  <rowFields count="1">
    <field x="11"/>
  </rowFields>
  <rowItems count="5">
    <i>
      <x/>
    </i>
    <i>
      <x v="1"/>
    </i>
    <i>
      <x v="2"/>
    </i>
    <i>
      <x v="3"/>
    </i>
    <i t="grand">
      <x/>
    </i>
  </rowItems>
  <colItems count="1">
    <i/>
  </colItems>
  <dataFields count="1">
    <dataField name="Sum of Total Sales" fld="8" baseField="0" baseItem="0" numFmtId="166"/>
  </dataFields>
  <formats count="6">
    <format dxfId="6">
      <pivotArea type="all" dataOnly="0" outline="0" fieldPosition="0"/>
    </format>
    <format dxfId="7">
      <pivotArea outline="0" collapsedLevelsAreSubtotals="1" fieldPosition="0"/>
    </format>
    <format dxfId="8">
      <pivotArea field="11" type="button" dataOnly="0" labelOnly="1" outline="0" axis="axisRow" fieldPosition="0"/>
    </format>
    <format dxfId="9">
      <pivotArea dataOnly="0" labelOnly="1" fieldPosition="0">
        <references count="1">
          <reference field="11" count="0"/>
        </references>
      </pivotArea>
    </format>
    <format dxfId="10">
      <pivotArea dataOnly="0" labelOnly="1" grandRow="1" outline="0" fieldPosition="0"/>
    </format>
    <format dxfId="11">
      <pivotArea dataOnly="0" labelOnly="1" outline="0" axis="axisValues" fieldPosition="0"/>
    </format>
  </formats>
  <chartFormats count="5">
    <chartFormat chart="19" format="52" series="1">
      <pivotArea type="data" outline="0" fieldPosition="0">
        <references count="1">
          <reference field="4294967294" count="1" selected="0">
            <x v="0"/>
          </reference>
        </references>
      </pivotArea>
    </chartFormat>
    <chartFormat chart="19" format="53">
      <pivotArea type="data" outline="0" fieldPosition="0">
        <references count="2">
          <reference field="4294967294" count="1" selected="0">
            <x v="0"/>
          </reference>
          <reference field="11" count="1" selected="0">
            <x v="0"/>
          </reference>
        </references>
      </pivotArea>
    </chartFormat>
    <chartFormat chart="19" format="54">
      <pivotArea type="data" outline="0" fieldPosition="0">
        <references count="2">
          <reference field="4294967294" count="1" selected="0">
            <x v="0"/>
          </reference>
          <reference field="11" count="1" selected="0">
            <x v="1"/>
          </reference>
        </references>
      </pivotArea>
    </chartFormat>
    <chartFormat chart="19" format="55">
      <pivotArea type="data" outline="0" fieldPosition="0">
        <references count="2">
          <reference field="4294967294" count="1" selected="0">
            <x v="0"/>
          </reference>
          <reference field="11" count="1" selected="0">
            <x v="2"/>
          </reference>
        </references>
      </pivotArea>
    </chartFormat>
    <chartFormat chart="19" format="56">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8CE8F28-2722-457F-B83B-9520F0C8D37F}"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
  <location ref="G16:H24" firstHeaderRow="1" firstDataRow="1" firstDataCol="1"/>
  <pivotFields count="19">
    <pivotField showAll="0"/>
    <pivotField showAll="0"/>
    <pivotField showAll="0"/>
    <pivotField showAll="0">
      <items count="4">
        <item x="1"/>
        <item x="0"/>
        <item x="2"/>
        <item t="default"/>
      </items>
    </pivotField>
    <pivotField showAll="0"/>
    <pivotField numFmtId="2" showAll="0"/>
    <pivotField showAll="0"/>
    <pivotField numFmtId="2" showAll="0"/>
    <pivotField dataField="1" showAll="0"/>
    <pivotField numFmtId="2" showAll="0"/>
    <pivotField numFmtId="9" showAll="0"/>
    <pivotField showAll="0">
      <items count="5">
        <item x="0"/>
        <item x="3"/>
        <item x="2"/>
        <item x="1"/>
        <item t="default"/>
      </items>
    </pivotField>
    <pivotField numFmtId="14" showAll="0"/>
    <pivotField numFmtId="164" showAll="0"/>
    <pivotField showAll="0">
      <items count="9">
        <item x="0"/>
        <item x="1"/>
        <item x="2"/>
        <item x="3"/>
        <item x="4"/>
        <item x="5"/>
        <item x="6"/>
        <item x="7"/>
        <item t="default"/>
      </items>
    </pivotField>
    <pivotField axis="axisRow" showAll="0">
      <items count="8">
        <item x="4"/>
        <item x="6"/>
        <item x="5"/>
        <item x="0"/>
        <item x="1"/>
        <item x="2"/>
        <item x="3"/>
        <item t="default"/>
      </items>
    </pivotField>
    <pivotField showAll="0"/>
    <pivotField showAll="0"/>
    <pivotField showAll="0"/>
  </pivotFields>
  <rowFields count="1">
    <field x="15"/>
  </rowFields>
  <rowItems count="8">
    <i>
      <x/>
    </i>
    <i>
      <x v="1"/>
    </i>
    <i>
      <x v="2"/>
    </i>
    <i>
      <x v="3"/>
    </i>
    <i>
      <x v="4"/>
    </i>
    <i>
      <x v="5"/>
    </i>
    <i>
      <x v="6"/>
    </i>
    <i t="grand">
      <x/>
    </i>
  </rowItems>
  <colItems count="1">
    <i/>
  </colItems>
  <dataFields count="1">
    <dataField name="Sum of Total Sales" fld="8" baseField="0" baseItem="0" numFmtId="166"/>
  </dataFields>
  <formats count="6">
    <format dxfId="0">
      <pivotArea type="all" dataOnly="0" outline="0" fieldPosition="0"/>
    </format>
    <format dxfId="1">
      <pivotArea outline="0" collapsedLevelsAreSubtotals="1" fieldPosition="0"/>
    </format>
    <format dxfId="2">
      <pivotArea field="15" type="button" dataOnly="0" labelOnly="1" outline="0" axis="axisRow" fieldPosition="0"/>
    </format>
    <format dxfId="3">
      <pivotArea dataOnly="0" labelOnly="1" fieldPosition="0">
        <references count="1">
          <reference field="15" count="0"/>
        </references>
      </pivotArea>
    </format>
    <format dxfId="4">
      <pivotArea dataOnly="0" labelOnly="1" grandRow="1" outline="0"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B0F2CC9-AACF-4A20-BC2A-CB45369CCD42}" sourceName="Month">
  <pivotTables>
    <pivotTable tabId="4" name="PivotTable11"/>
    <pivotTable tabId="4" name="PivotTable9"/>
    <pivotTable tabId="4" name="PivotTable8"/>
    <pivotTable tabId="4" name="PivotTable22"/>
    <pivotTable tabId="4" name="PivotTable21"/>
    <pivotTable tabId="4" name="PivotTable20"/>
    <pivotTable tabId="4" name="PivotTable19"/>
    <pivotTable tabId="4" name="PivotTable18"/>
    <pivotTable tabId="4" name="PivotTable17"/>
    <pivotTable tabId="4" name="PivotTable16"/>
  </pivotTables>
  <data>
    <tabular pivotCacheId="457364867">
      <items count="8">
        <i x="0" s="1"/>
        <i x="1" s="1"/>
        <i x="2" s="1"/>
        <i x="3" s="1"/>
        <i x="4" s="1"/>
        <i x="5"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83D60A2-7031-4D67-B2B7-1FE8208EAE6C}" sourceName="Payment Method">
  <pivotTables>
    <pivotTable tabId="4" name="PivotTable15"/>
    <pivotTable tabId="4" name="PivotTable11"/>
    <pivotTable tabId="4" name="PivotTable20"/>
    <pivotTable tabId="4" name="PivotTable21"/>
    <pivotTable tabId="4" name="PivotTable22"/>
    <pivotTable tabId="4" name="PivotTable8"/>
    <pivotTable tabId="4" name="PivotTable9"/>
    <pivotTable tabId="4" name="PivotTable16"/>
    <pivotTable tabId="4" name="PivotTable17"/>
    <pivotTable tabId="4" name="PivotTable18"/>
  </pivotTables>
  <data>
    <tabular pivotCacheId="457364867">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FF5A050-DA58-4BDE-80AD-551200FDBEE6}" sourceName="Category">
  <pivotTables>
    <pivotTable tabId="4" name="PivotTable15"/>
    <pivotTable tabId="4" name="PivotTable16"/>
    <pivotTable tabId="4" name="PivotTable17"/>
    <pivotTable tabId="4" name="PivotTable18"/>
    <pivotTable tabId="4" name="PivotTable19"/>
    <pivotTable tabId="4" name="PivotTable20"/>
    <pivotTable tabId="4" name="PivotTable21"/>
    <pivotTable tabId="4" name="PivotTable22"/>
    <pivotTable tabId="4" name="PivotTable8"/>
    <pivotTable tabId="4" name="PivotTable9"/>
  </pivotTables>
  <data>
    <tabular pivotCacheId="45736486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4" xr10:uid="{3B99056F-C21D-4053-B008-5E27E28E7F95}" cache="Slicer_Month" caption="Month" columnCount="4" style="SlicerStyleDark3" rowHeight="182880"/>
  <slicer name="Payment Method 4" xr10:uid="{3657244B-5763-4232-A215-30987DE60C7C}" cache="Slicer_Payment_Method" caption="Payment Method" columnCount="2" style="SlicerStyleDark3" rowHeight="182880"/>
  <slicer name="Category 4" xr10:uid="{CB0625E5-05D5-42F7-ADF8-8951A78940AE}" cache="Slicer_Category" caption="Category" columnCount="2" style="SlicerStyleDark3"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F80BB4-3052-4581-AC21-FDAAF86EE3C2}" name="Table2" displayName="Table2" ref="A1:S501" totalsRowShown="0">
  <autoFilter ref="A1:S501" xr:uid="{E9F80BB4-3052-4581-AC21-FDAAF86EE3C2}"/>
  <tableColumns count="19">
    <tableColumn id="1" xr3:uid="{226ECC6D-F319-4BBA-BC97-92179F933ED7}" name="Order ID"/>
    <tableColumn id="2" xr3:uid="{5DB21813-300A-4D5B-BFBC-B6B6EB0E0CAF}" name="Customer Name"/>
    <tableColumn id="3" xr3:uid="{2738C52C-CDB2-4D31-915E-23E919ED080B}" name="Food Item"/>
    <tableColumn id="4" xr3:uid="{391C65C3-1ED5-4AB7-B5AA-1F4E8C232E02}" name="Category"/>
    <tableColumn id="5" xr3:uid="{658B579A-CFD6-4AE1-BF43-3350E3F9EE7C}" name="Quantity" dataDxfId="69"/>
    <tableColumn id="6" xr3:uid="{DBE126AC-3500-4684-83FB-67C433545356}" name="Price" dataDxfId="68"/>
    <tableColumn id="18" xr3:uid="{B82D6181-9343-4E27-B219-562D4904AD3E}" name="Price Category" dataDxfId="67">
      <calculatedColumnFormula>IF(F2&lt;10,"Budget",IF(F2&lt;20,"Mid-Range","Premium"))</calculatedColumnFormula>
    </tableColumn>
    <tableColumn id="7" xr3:uid="{E016D966-30DF-45FF-A24F-884EB1F227F0}" name="Cost" dataDxfId="66">
      <calculatedColumnFormula>60% * F2</calculatedColumnFormula>
    </tableColumn>
    <tableColumn id="8" xr3:uid="{EA406C49-EF8D-4C97-BA77-BB7714D05D0C}" name="Total Sales">
      <calculatedColumnFormula>E2 * F2</calculatedColumnFormula>
    </tableColumn>
    <tableColumn id="9" xr3:uid="{9E863C61-FF18-4FD6-94DF-4A32CD0A34B6}" name="Profit" dataDxfId="65">
      <calculatedColumnFormula>I2 - H2</calculatedColumnFormula>
    </tableColumn>
    <tableColumn id="10" xr3:uid="{327312D0-7FFA-42C2-A099-14B94B8A94C1}" name="Profit_Margin" dataDxfId="64" dataCellStyle="Percent">
      <calculatedColumnFormula>J2 / I2</calculatedColumnFormula>
    </tableColumn>
    <tableColumn id="11" xr3:uid="{68709B01-841D-4410-850D-5E3AF784DB93}" name="Payment Method"/>
    <tableColumn id="12" xr3:uid="{1B9EF819-C829-4D0C-9BD3-B73139049DA6}" name="Order Date" dataDxfId="63"/>
    <tableColumn id="13" xr3:uid="{C2DDF1A8-FCFC-4DE1-A936-720BC33568B9}" name="Order Time" dataDxfId="62"/>
    <tableColumn id="14" xr3:uid="{59C4EB4C-DCAE-49B6-9D53-4DA4DEBB8384}" name="Month">
      <calculatedColumnFormula>TEXT(N2,"MMM")</calculatedColumnFormula>
    </tableColumn>
    <tableColumn id="15" xr3:uid="{724F0DF2-0961-46FB-ABD2-6D55E26E770E}" name="Day">
      <calculatedColumnFormula>TEXT(M2, "DDD")</calculatedColumnFormula>
    </tableColumn>
    <tableColumn id="19" xr3:uid="{D031D299-BD92-4520-BB54-F881D4BE5952}" name="Day Type" dataDxfId="61">
      <calculatedColumnFormula>IF(OR(P2="Fri",P2="Sat"),"Weekend","Weekday")</calculatedColumnFormula>
    </tableColumn>
    <tableColumn id="16" xr3:uid="{1AA81AA7-87F4-4AFB-A899-48412601771B}" name="Hour">
      <calculatedColumnFormula>HOUR(N2)</calculatedColumnFormula>
    </tableColumn>
    <tableColumn id="17" xr3:uid="{651CB8CF-616A-470B-A4E6-EA58A5E1F377}" name="Time Period"/>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sqref="A1:XFD1048576"/>
    </sheetView>
  </sheetViews>
  <sheetFormatPr defaultRowHeight="15" x14ac:dyDescent="0.25"/>
  <cols>
    <col min="1" max="1" width="8.42578125" bestFit="1" customWidth="1"/>
    <col min="2" max="2" width="21.85546875" bestFit="1" customWidth="1"/>
    <col min="3" max="3" width="10" bestFit="1" customWidth="1"/>
    <col min="4" max="4" width="8.85546875" bestFit="1" customWidth="1"/>
    <col min="5" max="5" width="8.7109375" bestFit="1" customWidth="1"/>
    <col min="6" max="6" width="6" bestFit="1" customWidth="1"/>
    <col min="7" max="7" width="16.42578125" bestFit="1" customWidth="1"/>
    <col min="8" max="8" width="14.85546875" bestFit="1" customWidth="1"/>
  </cols>
  <sheetData>
    <row r="1" spans="1:8" x14ac:dyDescent="0.25">
      <c r="A1" t="s">
        <v>0</v>
      </c>
      <c r="B1" t="s">
        <v>1</v>
      </c>
      <c r="C1" t="s">
        <v>2</v>
      </c>
      <c r="D1" t="s">
        <v>3</v>
      </c>
      <c r="E1" t="s">
        <v>4</v>
      </c>
      <c r="F1" t="s">
        <v>5</v>
      </c>
      <c r="G1" t="s">
        <v>6</v>
      </c>
      <c r="H1" t="s">
        <v>7</v>
      </c>
    </row>
    <row r="2" spans="1:8" x14ac:dyDescent="0.25">
      <c r="A2">
        <v>2268</v>
      </c>
      <c r="B2" t="s">
        <v>8</v>
      </c>
      <c r="C2" t="s">
        <v>9</v>
      </c>
      <c r="D2" t="s">
        <v>10</v>
      </c>
      <c r="E2">
        <v>5</v>
      </c>
      <c r="F2">
        <v>16.52</v>
      </c>
      <c r="G2" t="s">
        <v>11</v>
      </c>
      <c r="H2" s="1">
        <v>45690.603252314817</v>
      </c>
    </row>
    <row r="3" spans="1:8" x14ac:dyDescent="0.25">
      <c r="A3">
        <v>3082</v>
      </c>
      <c r="B3" t="s">
        <v>12</v>
      </c>
      <c r="C3" t="s">
        <v>13</v>
      </c>
      <c r="D3" t="s">
        <v>14</v>
      </c>
      <c r="E3">
        <v>4</v>
      </c>
      <c r="F3">
        <v>17.27</v>
      </c>
      <c r="G3" t="s">
        <v>15</v>
      </c>
      <c r="H3" s="1">
        <v>45816.456793981481</v>
      </c>
    </row>
    <row r="4" spans="1:8" x14ac:dyDescent="0.25">
      <c r="A4">
        <v>3160</v>
      </c>
      <c r="B4" t="s">
        <v>16</v>
      </c>
      <c r="C4" t="s">
        <v>9</v>
      </c>
      <c r="D4" t="s">
        <v>10</v>
      </c>
      <c r="E4">
        <v>1</v>
      </c>
      <c r="F4">
        <v>3.37</v>
      </c>
      <c r="G4" t="s">
        <v>17</v>
      </c>
      <c r="H4" s="1">
        <v>45720.320613425924</v>
      </c>
    </row>
    <row r="5" spans="1:8" x14ac:dyDescent="0.25">
      <c r="A5">
        <v>1272</v>
      </c>
      <c r="B5" t="s">
        <v>18</v>
      </c>
      <c r="C5" t="s">
        <v>9</v>
      </c>
      <c r="D5" t="s">
        <v>10</v>
      </c>
      <c r="E5">
        <v>5</v>
      </c>
      <c r="F5">
        <v>2.2000000000000002</v>
      </c>
      <c r="G5" t="s">
        <v>19</v>
      </c>
      <c r="H5" s="1">
        <v>45792.530381944445</v>
      </c>
    </row>
    <row r="6" spans="1:8" x14ac:dyDescent="0.25">
      <c r="A6">
        <v>9447</v>
      </c>
      <c r="B6" t="s">
        <v>20</v>
      </c>
      <c r="C6" t="s">
        <v>21</v>
      </c>
      <c r="D6" t="s">
        <v>22</v>
      </c>
      <c r="E6">
        <v>1</v>
      </c>
      <c r="F6">
        <v>12.23</v>
      </c>
      <c r="G6" t="s">
        <v>11</v>
      </c>
      <c r="H6" s="1">
        <v>45731.601342592592</v>
      </c>
    </row>
    <row r="7" spans="1:8" x14ac:dyDescent="0.25">
      <c r="A7">
        <v>1587</v>
      </c>
      <c r="B7" t="s">
        <v>23</v>
      </c>
      <c r="C7" t="s">
        <v>13</v>
      </c>
      <c r="D7" t="s">
        <v>14</v>
      </c>
      <c r="E7">
        <v>5</v>
      </c>
      <c r="F7">
        <v>7.39</v>
      </c>
      <c r="G7" t="s">
        <v>17</v>
      </c>
      <c r="H7" s="1">
        <v>45759.242569444446</v>
      </c>
    </row>
    <row r="8" spans="1:8" x14ac:dyDescent="0.25">
      <c r="A8">
        <v>2834</v>
      </c>
      <c r="B8" t="s">
        <v>24</v>
      </c>
      <c r="C8" t="s">
        <v>21</v>
      </c>
      <c r="D8" t="s">
        <v>22</v>
      </c>
      <c r="E8">
        <v>3</v>
      </c>
      <c r="F8">
        <v>8.31</v>
      </c>
      <c r="G8" t="s">
        <v>17</v>
      </c>
      <c r="H8" s="1">
        <v>45828.763842592591</v>
      </c>
    </row>
    <row r="9" spans="1:8" x14ac:dyDescent="0.25">
      <c r="A9">
        <v>4514</v>
      </c>
      <c r="B9" t="s">
        <v>25</v>
      </c>
      <c r="C9" t="s">
        <v>21</v>
      </c>
      <c r="D9" t="s">
        <v>22</v>
      </c>
      <c r="E9">
        <v>4</v>
      </c>
      <c r="F9">
        <v>2.2799999999999998</v>
      </c>
      <c r="G9" t="s">
        <v>11</v>
      </c>
      <c r="H9" s="1">
        <v>45807.391840277778</v>
      </c>
    </row>
    <row r="10" spans="1:8" x14ac:dyDescent="0.25">
      <c r="A10">
        <v>3946</v>
      </c>
      <c r="B10" t="s">
        <v>26</v>
      </c>
      <c r="C10" t="s">
        <v>9</v>
      </c>
      <c r="D10" t="s">
        <v>10</v>
      </c>
      <c r="E10">
        <v>1</v>
      </c>
      <c r="F10">
        <v>13.05</v>
      </c>
      <c r="G10" t="s">
        <v>17</v>
      </c>
      <c r="H10" s="1">
        <v>45811.070509259262</v>
      </c>
    </row>
    <row r="11" spans="1:8" x14ac:dyDescent="0.25">
      <c r="A11">
        <v>3174</v>
      </c>
      <c r="B11" t="s">
        <v>27</v>
      </c>
      <c r="C11" t="s">
        <v>28</v>
      </c>
      <c r="D11" t="s">
        <v>14</v>
      </c>
      <c r="E11">
        <v>4</v>
      </c>
      <c r="F11">
        <v>19.48</v>
      </c>
      <c r="G11" t="s">
        <v>11</v>
      </c>
      <c r="H11" s="1">
        <v>45856.041435185187</v>
      </c>
    </row>
    <row r="12" spans="1:8" x14ac:dyDescent="0.25">
      <c r="A12">
        <v>8018</v>
      </c>
      <c r="B12" t="s">
        <v>29</v>
      </c>
      <c r="C12" t="s">
        <v>30</v>
      </c>
      <c r="D12" t="s">
        <v>10</v>
      </c>
      <c r="E12">
        <v>5</v>
      </c>
      <c r="F12">
        <v>11.79</v>
      </c>
      <c r="G12" t="s">
        <v>15</v>
      </c>
      <c r="H12" s="1">
        <v>45775.339803240742</v>
      </c>
    </row>
    <row r="13" spans="1:8" x14ac:dyDescent="0.25">
      <c r="A13">
        <v>5134</v>
      </c>
      <c r="B13" t="s">
        <v>31</v>
      </c>
      <c r="C13" t="s">
        <v>28</v>
      </c>
      <c r="D13" t="s">
        <v>14</v>
      </c>
      <c r="E13">
        <v>1</v>
      </c>
      <c r="F13">
        <v>20.73</v>
      </c>
      <c r="G13" t="s">
        <v>19</v>
      </c>
      <c r="H13" s="1">
        <v>45693.023946759262</v>
      </c>
    </row>
    <row r="14" spans="1:8" x14ac:dyDescent="0.25">
      <c r="A14">
        <v>5409</v>
      </c>
      <c r="B14" t="s">
        <v>32</v>
      </c>
      <c r="C14" t="s">
        <v>33</v>
      </c>
      <c r="D14" t="s">
        <v>14</v>
      </c>
      <c r="E14">
        <v>5</v>
      </c>
      <c r="F14">
        <v>4.7699999999999996</v>
      </c>
      <c r="G14" t="s">
        <v>11</v>
      </c>
      <c r="H14" s="1">
        <v>45775.355717592596</v>
      </c>
    </row>
    <row r="15" spans="1:8" x14ac:dyDescent="0.25">
      <c r="A15">
        <v>4626</v>
      </c>
      <c r="B15" t="s">
        <v>34</v>
      </c>
      <c r="C15" t="s">
        <v>35</v>
      </c>
      <c r="D15" t="s">
        <v>22</v>
      </c>
      <c r="E15">
        <v>3</v>
      </c>
      <c r="F15">
        <v>3.44</v>
      </c>
      <c r="G15" t="s">
        <v>17</v>
      </c>
      <c r="H15" s="1">
        <v>45782.372731481482</v>
      </c>
    </row>
    <row r="16" spans="1:8" x14ac:dyDescent="0.25">
      <c r="A16">
        <v>4390</v>
      </c>
      <c r="B16" t="s">
        <v>36</v>
      </c>
      <c r="C16" t="s">
        <v>37</v>
      </c>
      <c r="D16" t="s">
        <v>10</v>
      </c>
      <c r="E16">
        <v>1</v>
      </c>
      <c r="F16">
        <v>4.84</v>
      </c>
      <c r="G16" t="s">
        <v>11</v>
      </c>
      <c r="H16" s="1">
        <v>45769.109884259262</v>
      </c>
    </row>
    <row r="17" spans="1:8" x14ac:dyDescent="0.25">
      <c r="A17">
        <v>9040</v>
      </c>
      <c r="B17" t="s">
        <v>38</v>
      </c>
      <c r="C17" t="s">
        <v>28</v>
      </c>
      <c r="D17" t="s">
        <v>14</v>
      </c>
      <c r="E17">
        <v>5</v>
      </c>
      <c r="F17">
        <v>19.489999999999998</v>
      </c>
      <c r="G17" t="s">
        <v>11</v>
      </c>
      <c r="H17" s="1">
        <v>45798.607800925929</v>
      </c>
    </row>
    <row r="18" spans="1:8" x14ac:dyDescent="0.25">
      <c r="A18">
        <v>5649</v>
      </c>
      <c r="B18" t="s">
        <v>39</v>
      </c>
      <c r="C18" t="s">
        <v>40</v>
      </c>
      <c r="D18" t="s">
        <v>22</v>
      </c>
      <c r="E18">
        <v>4</v>
      </c>
      <c r="F18">
        <v>21.98</v>
      </c>
      <c r="G18" t="s">
        <v>19</v>
      </c>
      <c r="H18" s="1">
        <v>45730.658009259256</v>
      </c>
    </row>
    <row r="19" spans="1:8" x14ac:dyDescent="0.25">
      <c r="A19">
        <v>7756</v>
      </c>
      <c r="B19" t="s">
        <v>41</v>
      </c>
      <c r="C19" t="s">
        <v>13</v>
      </c>
      <c r="D19" t="s">
        <v>14</v>
      </c>
      <c r="E19">
        <v>1</v>
      </c>
      <c r="F19">
        <v>21.83</v>
      </c>
      <c r="G19" t="s">
        <v>17</v>
      </c>
      <c r="H19" s="1">
        <v>45864.348622685182</v>
      </c>
    </row>
    <row r="20" spans="1:8" x14ac:dyDescent="0.25">
      <c r="A20">
        <v>2857</v>
      </c>
      <c r="B20" t="s">
        <v>42</v>
      </c>
      <c r="C20" t="s">
        <v>40</v>
      </c>
      <c r="D20" t="s">
        <v>22</v>
      </c>
      <c r="E20">
        <v>4</v>
      </c>
      <c r="F20">
        <v>4.72</v>
      </c>
      <c r="G20" t="s">
        <v>15</v>
      </c>
      <c r="H20" s="1">
        <v>45769.821689814817</v>
      </c>
    </row>
    <row r="21" spans="1:8" x14ac:dyDescent="0.25">
      <c r="A21">
        <v>8170</v>
      </c>
      <c r="B21" t="s">
        <v>43</v>
      </c>
      <c r="C21" t="s">
        <v>9</v>
      </c>
      <c r="D21" t="s">
        <v>10</v>
      </c>
      <c r="E21">
        <v>3</v>
      </c>
      <c r="F21">
        <v>21.48</v>
      </c>
      <c r="G21" t="s">
        <v>11</v>
      </c>
      <c r="H21" s="1">
        <v>45805.713761574072</v>
      </c>
    </row>
    <row r="22" spans="1:8" x14ac:dyDescent="0.25">
      <c r="A22">
        <v>2933</v>
      </c>
      <c r="B22" t="s">
        <v>44</v>
      </c>
      <c r="C22" t="s">
        <v>35</v>
      </c>
      <c r="D22" t="s">
        <v>22</v>
      </c>
      <c r="E22">
        <v>3</v>
      </c>
      <c r="F22">
        <v>20.78</v>
      </c>
      <c r="G22" t="s">
        <v>17</v>
      </c>
      <c r="H22" s="1">
        <v>45868.161909722221</v>
      </c>
    </row>
    <row r="23" spans="1:8" x14ac:dyDescent="0.25">
      <c r="A23">
        <v>3742</v>
      </c>
      <c r="B23" t="s">
        <v>45</v>
      </c>
      <c r="C23" t="s">
        <v>30</v>
      </c>
      <c r="D23" t="s">
        <v>10</v>
      </c>
      <c r="E23">
        <v>2</v>
      </c>
      <c r="F23">
        <v>10.81</v>
      </c>
      <c r="G23" t="s">
        <v>11</v>
      </c>
      <c r="H23" s="1">
        <v>45708.389085648145</v>
      </c>
    </row>
    <row r="24" spans="1:8" x14ac:dyDescent="0.25">
      <c r="A24">
        <v>8664</v>
      </c>
      <c r="B24" t="s">
        <v>46</v>
      </c>
      <c r="C24" t="s">
        <v>30</v>
      </c>
      <c r="D24" t="s">
        <v>10</v>
      </c>
      <c r="E24">
        <v>5</v>
      </c>
      <c r="F24">
        <v>19.78</v>
      </c>
      <c r="G24" t="s">
        <v>15</v>
      </c>
      <c r="H24" s="1">
        <v>45797.705729166664</v>
      </c>
    </row>
    <row r="25" spans="1:8" x14ac:dyDescent="0.25">
      <c r="A25">
        <v>9769</v>
      </c>
      <c r="B25" t="s">
        <v>47</v>
      </c>
      <c r="C25" t="s">
        <v>30</v>
      </c>
      <c r="D25" t="s">
        <v>10</v>
      </c>
      <c r="E25">
        <v>2</v>
      </c>
      <c r="F25">
        <v>17.22</v>
      </c>
      <c r="G25" t="s">
        <v>11</v>
      </c>
      <c r="H25" s="1">
        <v>45805.942997685182</v>
      </c>
    </row>
    <row r="26" spans="1:8" x14ac:dyDescent="0.25">
      <c r="A26">
        <v>9125</v>
      </c>
      <c r="B26" t="s">
        <v>48</v>
      </c>
      <c r="C26" t="s">
        <v>35</v>
      </c>
      <c r="D26" t="s">
        <v>22</v>
      </c>
      <c r="E26">
        <v>3</v>
      </c>
      <c r="F26">
        <v>16.68</v>
      </c>
      <c r="G26" t="s">
        <v>19</v>
      </c>
      <c r="H26" s="1">
        <v>45873.547407407408</v>
      </c>
    </row>
    <row r="27" spans="1:8" x14ac:dyDescent="0.25">
      <c r="A27">
        <v>1486</v>
      </c>
      <c r="B27" t="s">
        <v>49</v>
      </c>
      <c r="C27" t="s">
        <v>35</v>
      </c>
      <c r="D27" t="s">
        <v>22</v>
      </c>
      <c r="E27">
        <v>3</v>
      </c>
      <c r="F27">
        <v>15.77</v>
      </c>
      <c r="G27" t="s">
        <v>15</v>
      </c>
      <c r="H27" s="1">
        <v>45849.31144675926</v>
      </c>
    </row>
    <row r="28" spans="1:8" x14ac:dyDescent="0.25">
      <c r="A28">
        <v>4707</v>
      </c>
      <c r="B28" t="s">
        <v>50</v>
      </c>
      <c r="C28" t="s">
        <v>21</v>
      </c>
      <c r="D28" t="s">
        <v>22</v>
      </c>
      <c r="E28">
        <v>3</v>
      </c>
      <c r="F28">
        <v>24.45</v>
      </c>
      <c r="G28" t="s">
        <v>11</v>
      </c>
      <c r="H28" s="1">
        <v>45875.582685185182</v>
      </c>
    </row>
    <row r="29" spans="1:8" x14ac:dyDescent="0.25">
      <c r="A29">
        <v>1964</v>
      </c>
      <c r="B29" t="s">
        <v>51</v>
      </c>
      <c r="C29" t="s">
        <v>21</v>
      </c>
      <c r="D29" t="s">
        <v>22</v>
      </c>
      <c r="E29">
        <v>3</v>
      </c>
      <c r="F29">
        <v>9.86</v>
      </c>
      <c r="G29" t="s">
        <v>11</v>
      </c>
      <c r="H29" s="1">
        <v>45685.367615740739</v>
      </c>
    </row>
    <row r="30" spans="1:8" x14ac:dyDescent="0.25">
      <c r="A30">
        <v>6828</v>
      </c>
      <c r="B30" t="s">
        <v>52</v>
      </c>
      <c r="C30" t="s">
        <v>40</v>
      </c>
      <c r="D30" t="s">
        <v>22</v>
      </c>
      <c r="E30">
        <v>4</v>
      </c>
      <c r="F30">
        <v>7.64</v>
      </c>
      <c r="G30" t="s">
        <v>11</v>
      </c>
      <c r="H30" s="1">
        <v>45718.427789351852</v>
      </c>
    </row>
    <row r="31" spans="1:8" x14ac:dyDescent="0.25">
      <c r="A31">
        <v>2651</v>
      </c>
      <c r="B31" t="s">
        <v>53</v>
      </c>
      <c r="C31" t="s">
        <v>21</v>
      </c>
      <c r="D31" t="s">
        <v>22</v>
      </c>
      <c r="E31">
        <v>3</v>
      </c>
      <c r="F31">
        <v>24.99</v>
      </c>
      <c r="G31" t="s">
        <v>19</v>
      </c>
      <c r="H31" s="1">
        <v>45730.524212962962</v>
      </c>
    </row>
    <row r="32" spans="1:8" x14ac:dyDescent="0.25">
      <c r="A32">
        <v>1088</v>
      </c>
      <c r="B32" t="s">
        <v>54</v>
      </c>
      <c r="C32" t="s">
        <v>33</v>
      </c>
      <c r="D32" t="s">
        <v>14</v>
      </c>
      <c r="E32">
        <v>1</v>
      </c>
      <c r="F32">
        <v>14.82</v>
      </c>
      <c r="G32" t="s">
        <v>11</v>
      </c>
      <c r="H32" s="1">
        <v>45759.431712962964</v>
      </c>
    </row>
    <row r="33" spans="1:8" x14ac:dyDescent="0.25">
      <c r="A33">
        <v>6841</v>
      </c>
      <c r="B33" t="s">
        <v>55</v>
      </c>
      <c r="C33" t="s">
        <v>13</v>
      </c>
      <c r="D33" t="s">
        <v>14</v>
      </c>
      <c r="E33">
        <v>5</v>
      </c>
      <c r="F33">
        <v>5.97</v>
      </c>
      <c r="G33" t="s">
        <v>17</v>
      </c>
      <c r="H33" s="1">
        <v>45881.40011574074</v>
      </c>
    </row>
    <row r="34" spans="1:8" x14ac:dyDescent="0.25">
      <c r="A34">
        <v>7606</v>
      </c>
      <c r="B34" t="s">
        <v>56</v>
      </c>
      <c r="C34" t="s">
        <v>37</v>
      </c>
      <c r="D34" t="s">
        <v>10</v>
      </c>
      <c r="E34">
        <v>3</v>
      </c>
      <c r="F34">
        <v>19.670000000000002</v>
      </c>
      <c r="G34" t="s">
        <v>15</v>
      </c>
      <c r="H34" s="1">
        <v>45706.841064814813</v>
      </c>
    </row>
    <row r="35" spans="1:8" x14ac:dyDescent="0.25">
      <c r="A35">
        <v>7720</v>
      </c>
      <c r="B35" t="s">
        <v>57</v>
      </c>
      <c r="C35" t="s">
        <v>28</v>
      </c>
      <c r="D35" t="s">
        <v>14</v>
      </c>
      <c r="E35">
        <v>1</v>
      </c>
      <c r="F35">
        <v>22.1</v>
      </c>
      <c r="G35" t="s">
        <v>15</v>
      </c>
      <c r="H35" s="1">
        <v>45682.538831018515</v>
      </c>
    </row>
    <row r="36" spans="1:8" x14ac:dyDescent="0.25">
      <c r="A36">
        <v>9332</v>
      </c>
      <c r="B36" t="s">
        <v>58</v>
      </c>
      <c r="C36" t="s">
        <v>21</v>
      </c>
      <c r="D36" t="s">
        <v>22</v>
      </c>
      <c r="E36">
        <v>3</v>
      </c>
      <c r="F36">
        <v>14.6</v>
      </c>
      <c r="G36" t="s">
        <v>19</v>
      </c>
      <c r="H36" s="1">
        <v>45678.971134259256</v>
      </c>
    </row>
    <row r="37" spans="1:8" x14ac:dyDescent="0.25">
      <c r="A37">
        <v>7106</v>
      </c>
      <c r="B37" t="s">
        <v>59</v>
      </c>
      <c r="C37" t="s">
        <v>40</v>
      </c>
      <c r="D37" t="s">
        <v>22</v>
      </c>
      <c r="E37">
        <v>5</v>
      </c>
      <c r="F37">
        <v>17.38</v>
      </c>
      <c r="G37" t="s">
        <v>11</v>
      </c>
      <c r="H37" s="1">
        <v>45829.919479166667</v>
      </c>
    </row>
    <row r="38" spans="1:8" x14ac:dyDescent="0.25">
      <c r="A38">
        <v>3007</v>
      </c>
      <c r="B38" t="s">
        <v>60</v>
      </c>
      <c r="C38" t="s">
        <v>33</v>
      </c>
      <c r="D38" t="s">
        <v>14</v>
      </c>
      <c r="E38">
        <v>5</v>
      </c>
      <c r="F38">
        <v>10.42</v>
      </c>
      <c r="G38" t="s">
        <v>19</v>
      </c>
      <c r="H38" s="1">
        <v>45727.660358796296</v>
      </c>
    </row>
    <row r="39" spans="1:8" x14ac:dyDescent="0.25">
      <c r="A39">
        <v>4081</v>
      </c>
      <c r="B39" t="s">
        <v>61</v>
      </c>
      <c r="C39" t="s">
        <v>28</v>
      </c>
      <c r="D39" t="s">
        <v>14</v>
      </c>
      <c r="E39">
        <v>5</v>
      </c>
      <c r="F39">
        <v>17.18</v>
      </c>
      <c r="G39" t="s">
        <v>19</v>
      </c>
      <c r="H39" s="1">
        <v>45742.373379629629</v>
      </c>
    </row>
    <row r="40" spans="1:8" x14ac:dyDescent="0.25">
      <c r="A40">
        <v>7215</v>
      </c>
      <c r="B40" t="s">
        <v>62</v>
      </c>
      <c r="C40" t="s">
        <v>21</v>
      </c>
      <c r="D40" t="s">
        <v>22</v>
      </c>
      <c r="E40">
        <v>1</v>
      </c>
      <c r="F40">
        <v>14.27</v>
      </c>
      <c r="G40" t="s">
        <v>11</v>
      </c>
      <c r="H40" s="1">
        <v>45868.793726851851</v>
      </c>
    </row>
    <row r="41" spans="1:8" x14ac:dyDescent="0.25">
      <c r="A41">
        <v>8800</v>
      </c>
      <c r="B41" t="s">
        <v>63</v>
      </c>
      <c r="C41" t="s">
        <v>21</v>
      </c>
      <c r="D41" t="s">
        <v>22</v>
      </c>
      <c r="E41">
        <v>1</v>
      </c>
      <c r="F41">
        <v>21.58</v>
      </c>
      <c r="G41" t="s">
        <v>11</v>
      </c>
      <c r="H41" s="1">
        <v>45834.547268518516</v>
      </c>
    </row>
    <row r="42" spans="1:8" x14ac:dyDescent="0.25">
      <c r="A42">
        <v>2121</v>
      </c>
      <c r="B42" t="s">
        <v>64</v>
      </c>
      <c r="C42" t="s">
        <v>30</v>
      </c>
      <c r="D42" t="s">
        <v>10</v>
      </c>
      <c r="E42">
        <v>1</v>
      </c>
      <c r="F42">
        <v>22.48</v>
      </c>
      <c r="G42" t="s">
        <v>19</v>
      </c>
      <c r="H42" s="1">
        <v>45825.559733796297</v>
      </c>
    </row>
    <row r="43" spans="1:8" x14ac:dyDescent="0.25">
      <c r="A43">
        <v>2187</v>
      </c>
      <c r="B43" t="s">
        <v>65</v>
      </c>
      <c r="C43" t="s">
        <v>40</v>
      </c>
      <c r="D43" t="s">
        <v>22</v>
      </c>
      <c r="E43">
        <v>2</v>
      </c>
      <c r="F43">
        <v>12.43</v>
      </c>
      <c r="G43" t="s">
        <v>11</v>
      </c>
      <c r="H43" s="1">
        <v>45813.128611111111</v>
      </c>
    </row>
    <row r="44" spans="1:8" x14ac:dyDescent="0.25">
      <c r="A44">
        <v>9709</v>
      </c>
      <c r="B44" t="s">
        <v>66</v>
      </c>
      <c r="C44" t="s">
        <v>28</v>
      </c>
      <c r="D44" t="s">
        <v>14</v>
      </c>
      <c r="E44">
        <v>4</v>
      </c>
      <c r="F44">
        <v>21.78</v>
      </c>
      <c r="G44" t="s">
        <v>11</v>
      </c>
      <c r="H44" s="1">
        <v>45828.936724537038</v>
      </c>
    </row>
    <row r="45" spans="1:8" x14ac:dyDescent="0.25">
      <c r="A45">
        <v>9211</v>
      </c>
      <c r="B45" t="s">
        <v>67</v>
      </c>
      <c r="C45" t="s">
        <v>37</v>
      </c>
      <c r="D45" t="s">
        <v>10</v>
      </c>
      <c r="E45">
        <v>5</v>
      </c>
      <c r="F45">
        <v>6.59</v>
      </c>
      <c r="G45" t="s">
        <v>11</v>
      </c>
      <c r="H45" s="1">
        <v>45874.940069444441</v>
      </c>
    </row>
    <row r="46" spans="1:8" x14ac:dyDescent="0.25">
      <c r="A46">
        <v>9271</v>
      </c>
      <c r="B46" t="s">
        <v>68</v>
      </c>
      <c r="C46" t="s">
        <v>40</v>
      </c>
      <c r="D46" t="s">
        <v>22</v>
      </c>
      <c r="E46">
        <v>1</v>
      </c>
      <c r="F46">
        <v>7.31</v>
      </c>
      <c r="G46" t="s">
        <v>15</v>
      </c>
      <c r="H46" s="1">
        <v>45792.58315972222</v>
      </c>
    </row>
    <row r="47" spans="1:8" x14ac:dyDescent="0.25">
      <c r="A47">
        <v>4925</v>
      </c>
      <c r="B47" t="s">
        <v>69</v>
      </c>
      <c r="C47" t="s">
        <v>13</v>
      </c>
      <c r="D47" t="s">
        <v>14</v>
      </c>
      <c r="E47">
        <v>5</v>
      </c>
      <c r="F47">
        <v>12.99</v>
      </c>
      <c r="G47" t="s">
        <v>19</v>
      </c>
      <c r="H47" s="1">
        <v>45834.560486111113</v>
      </c>
    </row>
    <row r="48" spans="1:8" x14ac:dyDescent="0.25">
      <c r="A48">
        <v>4142</v>
      </c>
      <c r="B48" t="s">
        <v>70</v>
      </c>
      <c r="C48" t="s">
        <v>33</v>
      </c>
      <c r="D48" t="s">
        <v>14</v>
      </c>
      <c r="E48">
        <v>2</v>
      </c>
      <c r="F48">
        <v>4.37</v>
      </c>
      <c r="G48" t="s">
        <v>19</v>
      </c>
      <c r="H48" s="1">
        <v>45778.0703125</v>
      </c>
    </row>
    <row r="49" spans="1:8" x14ac:dyDescent="0.25">
      <c r="A49">
        <v>9859</v>
      </c>
      <c r="B49" t="s">
        <v>71</v>
      </c>
      <c r="C49" t="s">
        <v>33</v>
      </c>
      <c r="D49" t="s">
        <v>14</v>
      </c>
      <c r="E49">
        <v>5</v>
      </c>
      <c r="F49">
        <v>10.01</v>
      </c>
      <c r="G49" t="s">
        <v>17</v>
      </c>
      <c r="H49" s="1">
        <v>45740.579953703702</v>
      </c>
    </row>
    <row r="50" spans="1:8" x14ac:dyDescent="0.25">
      <c r="A50">
        <v>2951</v>
      </c>
      <c r="B50" t="s">
        <v>72</v>
      </c>
      <c r="C50" t="s">
        <v>35</v>
      </c>
      <c r="D50" t="s">
        <v>22</v>
      </c>
      <c r="E50">
        <v>3</v>
      </c>
      <c r="F50">
        <v>22.14</v>
      </c>
      <c r="G50" t="s">
        <v>17</v>
      </c>
      <c r="H50" s="1">
        <v>45876.613715277781</v>
      </c>
    </row>
    <row r="51" spans="1:8" x14ac:dyDescent="0.25">
      <c r="A51">
        <v>9086</v>
      </c>
      <c r="B51" t="s">
        <v>73</v>
      </c>
      <c r="C51" t="s">
        <v>21</v>
      </c>
      <c r="D51" t="s">
        <v>22</v>
      </c>
      <c r="E51">
        <v>1</v>
      </c>
      <c r="F51">
        <v>10.32</v>
      </c>
      <c r="G51" t="s">
        <v>19</v>
      </c>
      <c r="H51" s="1">
        <v>45883.305625000001</v>
      </c>
    </row>
    <row r="52" spans="1:8" x14ac:dyDescent="0.25">
      <c r="A52">
        <v>4055</v>
      </c>
      <c r="B52" t="s">
        <v>74</v>
      </c>
      <c r="C52" t="s">
        <v>40</v>
      </c>
      <c r="D52" t="s">
        <v>22</v>
      </c>
      <c r="E52">
        <v>1</v>
      </c>
      <c r="F52">
        <v>10.79</v>
      </c>
      <c r="G52" t="s">
        <v>17</v>
      </c>
      <c r="H52" s="1">
        <v>45786.236284722225</v>
      </c>
    </row>
    <row r="53" spans="1:8" x14ac:dyDescent="0.25">
      <c r="A53">
        <v>1684</v>
      </c>
      <c r="B53" t="s">
        <v>75</v>
      </c>
      <c r="C53" t="s">
        <v>28</v>
      </c>
      <c r="D53" t="s">
        <v>14</v>
      </c>
      <c r="E53">
        <v>3</v>
      </c>
      <c r="F53">
        <v>5.18</v>
      </c>
      <c r="G53" t="s">
        <v>15</v>
      </c>
      <c r="H53" s="1">
        <v>45684.604560185187</v>
      </c>
    </row>
    <row r="54" spans="1:8" x14ac:dyDescent="0.25">
      <c r="A54">
        <v>9428</v>
      </c>
      <c r="B54" t="s">
        <v>76</v>
      </c>
      <c r="C54" t="s">
        <v>40</v>
      </c>
      <c r="D54" t="s">
        <v>22</v>
      </c>
      <c r="E54">
        <v>5</v>
      </c>
      <c r="F54">
        <v>3.53</v>
      </c>
      <c r="G54" t="s">
        <v>15</v>
      </c>
      <c r="H54" s="1">
        <v>45708.303414351853</v>
      </c>
    </row>
    <row r="55" spans="1:8" x14ac:dyDescent="0.25">
      <c r="A55">
        <v>7605</v>
      </c>
      <c r="B55" t="s">
        <v>77</v>
      </c>
      <c r="C55" t="s">
        <v>9</v>
      </c>
      <c r="D55" t="s">
        <v>10</v>
      </c>
      <c r="E55">
        <v>4</v>
      </c>
      <c r="F55">
        <v>23.55</v>
      </c>
      <c r="G55" t="s">
        <v>17</v>
      </c>
      <c r="H55" s="1">
        <v>45851.529363425929</v>
      </c>
    </row>
    <row r="56" spans="1:8" x14ac:dyDescent="0.25">
      <c r="A56">
        <v>6565</v>
      </c>
      <c r="B56" t="s">
        <v>78</v>
      </c>
      <c r="C56" t="s">
        <v>28</v>
      </c>
      <c r="D56" t="s">
        <v>14</v>
      </c>
      <c r="E56">
        <v>4</v>
      </c>
      <c r="F56">
        <v>6.61</v>
      </c>
      <c r="G56" t="s">
        <v>15</v>
      </c>
      <c r="H56" s="1">
        <v>45807.760138888887</v>
      </c>
    </row>
    <row r="57" spans="1:8" x14ac:dyDescent="0.25">
      <c r="A57">
        <v>6309</v>
      </c>
      <c r="B57" t="s">
        <v>79</v>
      </c>
      <c r="C57" t="s">
        <v>40</v>
      </c>
      <c r="D57" t="s">
        <v>22</v>
      </c>
      <c r="E57">
        <v>5</v>
      </c>
      <c r="F57">
        <v>15.44</v>
      </c>
      <c r="G57" t="s">
        <v>19</v>
      </c>
      <c r="H57" s="1">
        <v>45870.726203703707</v>
      </c>
    </row>
    <row r="58" spans="1:8" x14ac:dyDescent="0.25">
      <c r="A58">
        <v>7930</v>
      </c>
      <c r="B58" t="s">
        <v>80</v>
      </c>
      <c r="C58" t="s">
        <v>13</v>
      </c>
      <c r="D58" t="s">
        <v>14</v>
      </c>
      <c r="E58">
        <v>3</v>
      </c>
      <c r="F58">
        <v>15.07</v>
      </c>
      <c r="G58" t="s">
        <v>11</v>
      </c>
      <c r="H58" s="1">
        <v>45771.518877314818</v>
      </c>
    </row>
    <row r="59" spans="1:8" x14ac:dyDescent="0.25">
      <c r="A59">
        <v>1430</v>
      </c>
      <c r="B59" t="s">
        <v>81</v>
      </c>
      <c r="C59" t="s">
        <v>21</v>
      </c>
      <c r="D59" t="s">
        <v>22</v>
      </c>
      <c r="E59">
        <v>1</v>
      </c>
      <c r="F59">
        <v>17.38</v>
      </c>
      <c r="G59" t="s">
        <v>17</v>
      </c>
      <c r="H59" s="1">
        <v>45817.412164351852</v>
      </c>
    </row>
    <row r="60" spans="1:8" x14ac:dyDescent="0.25">
      <c r="A60">
        <v>8321</v>
      </c>
      <c r="B60" t="s">
        <v>82</v>
      </c>
      <c r="C60" t="s">
        <v>35</v>
      </c>
      <c r="D60" t="s">
        <v>22</v>
      </c>
      <c r="E60">
        <v>1</v>
      </c>
      <c r="F60">
        <v>19.75</v>
      </c>
      <c r="G60" t="s">
        <v>11</v>
      </c>
      <c r="H60" s="1">
        <v>45865.21</v>
      </c>
    </row>
    <row r="61" spans="1:8" x14ac:dyDescent="0.25">
      <c r="A61">
        <v>2447</v>
      </c>
      <c r="B61" t="s">
        <v>83</v>
      </c>
      <c r="C61" t="s">
        <v>13</v>
      </c>
      <c r="D61" t="s">
        <v>14</v>
      </c>
      <c r="E61">
        <v>2</v>
      </c>
      <c r="F61">
        <v>10.24</v>
      </c>
      <c r="G61" t="s">
        <v>15</v>
      </c>
      <c r="H61" s="1">
        <v>45698.54483796296</v>
      </c>
    </row>
    <row r="62" spans="1:8" x14ac:dyDescent="0.25">
      <c r="A62">
        <v>6306</v>
      </c>
      <c r="B62" t="s">
        <v>84</v>
      </c>
      <c r="C62" t="s">
        <v>13</v>
      </c>
      <c r="D62" t="s">
        <v>14</v>
      </c>
      <c r="E62">
        <v>1</v>
      </c>
      <c r="F62">
        <v>12</v>
      </c>
      <c r="G62" t="s">
        <v>11</v>
      </c>
      <c r="H62" s="1">
        <v>45839.287824074076</v>
      </c>
    </row>
    <row r="63" spans="1:8" x14ac:dyDescent="0.25">
      <c r="A63">
        <v>6257</v>
      </c>
      <c r="B63" t="s">
        <v>85</v>
      </c>
      <c r="C63" t="s">
        <v>40</v>
      </c>
      <c r="D63" t="s">
        <v>22</v>
      </c>
      <c r="E63">
        <v>5</v>
      </c>
      <c r="F63">
        <v>14.18</v>
      </c>
      <c r="G63" t="s">
        <v>17</v>
      </c>
      <c r="H63" s="1">
        <v>45741.354479166665</v>
      </c>
    </row>
    <row r="64" spans="1:8" x14ac:dyDescent="0.25">
      <c r="A64">
        <v>4860</v>
      </c>
      <c r="B64" t="s">
        <v>86</v>
      </c>
      <c r="C64" t="s">
        <v>33</v>
      </c>
      <c r="D64" t="s">
        <v>14</v>
      </c>
      <c r="E64">
        <v>3</v>
      </c>
      <c r="F64">
        <v>8.02</v>
      </c>
      <c r="G64" t="s">
        <v>15</v>
      </c>
      <c r="H64" s="1">
        <v>45689.181493055556</v>
      </c>
    </row>
    <row r="65" spans="1:8" x14ac:dyDescent="0.25">
      <c r="A65">
        <v>2013</v>
      </c>
      <c r="B65" t="s">
        <v>87</v>
      </c>
      <c r="C65" t="s">
        <v>30</v>
      </c>
      <c r="D65" t="s">
        <v>10</v>
      </c>
      <c r="E65">
        <v>4</v>
      </c>
      <c r="F65">
        <v>9.02</v>
      </c>
      <c r="G65" t="s">
        <v>15</v>
      </c>
      <c r="H65" s="1">
        <v>45760.890856481485</v>
      </c>
    </row>
    <row r="66" spans="1:8" x14ac:dyDescent="0.25">
      <c r="A66">
        <v>3257</v>
      </c>
      <c r="B66" t="s">
        <v>88</v>
      </c>
      <c r="C66" t="s">
        <v>13</v>
      </c>
      <c r="D66" t="s">
        <v>14</v>
      </c>
      <c r="E66">
        <v>5</v>
      </c>
      <c r="F66">
        <v>12.07</v>
      </c>
      <c r="G66" t="s">
        <v>19</v>
      </c>
      <c r="H66" s="1">
        <v>45818.175335648149</v>
      </c>
    </row>
    <row r="67" spans="1:8" x14ac:dyDescent="0.25">
      <c r="A67">
        <v>6815</v>
      </c>
      <c r="B67" t="s">
        <v>89</v>
      </c>
      <c r="C67" t="s">
        <v>28</v>
      </c>
      <c r="D67" t="s">
        <v>14</v>
      </c>
      <c r="E67">
        <v>4</v>
      </c>
      <c r="F67">
        <v>10.62</v>
      </c>
      <c r="G67" t="s">
        <v>19</v>
      </c>
      <c r="H67" s="1">
        <v>45675.104791666665</v>
      </c>
    </row>
    <row r="68" spans="1:8" x14ac:dyDescent="0.25">
      <c r="A68">
        <v>6857</v>
      </c>
      <c r="B68" t="s">
        <v>90</v>
      </c>
      <c r="C68" t="s">
        <v>40</v>
      </c>
      <c r="D68" t="s">
        <v>22</v>
      </c>
      <c r="E68">
        <v>4</v>
      </c>
      <c r="F68">
        <v>13.08</v>
      </c>
      <c r="G68" t="s">
        <v>15</v>
      </c>
      <c r="H68" s="1">
        <v>45797.524282407408</v>
      </c>
    </row>
    <row r="69" spans="1:8" x14ac:dyDescent="0.25">
      <c r="A69">
        <v>8996</v>
      </c>
      <c r="B69" t="s">
        <v>91</v>
      </c>
      <c r="C69" t="s">
        <v>35</v>
      </c>
      <c r="D69" t="s">
        <v>22</v>
      </c>
      <c r="E69">
        <v>4</v>
      </c>
      <c r="F69">
        <v>7.58</v>
      </c>
      <c r="G69" t="s">
        <v>11</v>
      </c>
      <c r="H69" s="1">
        <v>45781.311412037037</v>
      </c>
    </row>
    <row r="70" spans="1:8" x14ac:dyDescent="0.25">
      <c r="A70">
        <v>9485</v>
      </c>
      <c r="B70" t="s">
        <v>92</v>
      </c>
      <c r="C70" t="s">
        <v>28</v>
      </c>
      <c r="D70" t="s">
        <v>14</v>
      </c>
      <c r="E70">
        <v>3</v>
      </c>
      <c r="F70">
        <v>5.33</v>
      </c>
      <c r="G70" t="s">
        <v>19</v>
      </c>
      <c r="H70" s="1">
        <v>45790.85601851852</v>
      </c>
    </row>
    <row r="71" spans="1:8" x14ac:dyDescent="0.25">
      <c r="A71">
        <v>2535</v>
      </c>
      <c r="B71" t="s">
        <v>93</v>
      </c>
      <c r="C71" t="s">
        <v>9</v>
      </c>
      <c r="D71" t="s">
        <v>10</v>
      </c>
      <c r="E71">
        <v>2</v>
      </c>
      <c r="F71">
        <v>4.9000000000000004</v>
      </c>
      <c r="G71" t="s">
        <v>19</v>
      </c>
      <c r="H71" s="1">
        <v>45700.208495370367</v>
      </c>
    </row>
    <row r="72" spans="1:8" x14ac:dyDescent="0.25">
      <c r="A72">
        <v>7940</v>
      </c>
      <c r="B72" t="s">
        <v>94</v>
      </c>
      <c r="C72" t="s">
        <v>28</v>
      </c>
      <c r="D72" t="s">
        <v>14</v>
      </c>
      <c r="E72">
        <v>4</v>
      </c>
      <c r="F72">
        <v>3.79</v>
      </c>
      <c r="G72" t="s">
        <v>19</v>
      </c>
      <c r="H72" s="1">
        <v>45883.220543981479</v>
      </c>
    </row>
    <row r="73" spans="1:8" x14ac:dyDescent="0.25">
      <c r="A73">
        <v>7805</v>
      </c>
      <c r="B73" t="s">
        <v>95</v>
      </c>
      <c r="C73" t="s">
        <v>33</v>
      </c>
      <c r="D73" t="s">
        <v>14</v>
      </c>
      <c r="E73">
        <v>1</v>
      </c>
      <c r="F73">
        <v>17.82</v>
      </c>
      <c r="G73" t="s">
        <v>15</v>
      </c>
      <c r="H73" s="1">
        <v>45760.24728009259</v>
      </c>
    </row>
    <row r="74" spans="1:8" x14ac:dyDescent="0.25">
      <c r="A74">
        <v>7314</v>
      </c>
      <c r="B74" t="s">
        <v>96</v>
      </c>
      <c r="C74" t="s">
        <v>37</v>
      </c>
      <c r="D74" t="s">
        <v>10</v>
      </c>
      <c r="E74">
        <v>2</v>
      </c>
      <c r="F74">
        <v>9.1300000000000008</v>
      </c>
      <c r="G74" t="s">
        <v>11</v>
      </c>
      <c r="H74" s="1">
        <v>45784.767314814817</v>
      </c>
    </row>
    <row r="75" spans="1:8" x14ac:dyDescent="0.25">
      <c r="A75">
        <v>2234</v>
      </c>
      <c r="B75" t="s">
        <v>97</v>
      </c>
      <c r="C75" t="s">
        <v>13</v>
      </c>
      <c r="D75" t="s">
        <v>14</v>
      </c>
      <c r="E75">
        <v>3</v>
      </c>
      <c r="F75">
        <v>21.28</v>
      </c>
      <c r="G75" t="s">
        <v>15</v>
      </c>
      <c r="H75" s="1">
        <v>45870.697627314818</v>
      </c>
    </row>
    <row r="76" spans="1:8" x14ac:dyDescent="0.25">
      <c r="A76">
        <v>8445</v>
      </c>
      <c r="B76" t="s">
        <v>98</v>
      </c>
      <c r="C76" t="s">
        <v>13</v>
      </c>
      <c r="D76" t="s">
        <v>14</v>
      </c>
      <c r="E76">
        <v>3</v>
      </c>
      <c r="F76">
        <v>6.18</v>
      </c>
      <c r="G76" t="s">
        <v>11</v>
      </c>
      <c r="H76" s="1">
        <v>45679.480474537035</v>
      </c>
    </row>
    <row r="77" spans="1:8" x14ac:dyDescent="0.25">
      <c r="A77">
        <v>8612</v>
      </c>
      <c r="B77" t="s">
        <v>99</v>
      </c>
      <c r="C77" t="s">
        <v>35</v>
      </c>
      <c r="D77" t="s">
        <v>22</v>
      </c>
      <c r="E77">
        <v>4</v>
      </c>
      <c r="F77">
        <v>6.95</v>
      </c>
      <c r="G77" t="s">
        <v>17</v>
      </c>
      <c r="H77" s="1">
        <v>45769.377187500002</v>
      </c>
    </row>
    <row r="78" spans="1:8" x14ac:dyDescent="0.25">
      <c r="A78">
        <v>7716</v>
      </c>
      <c r="B78" t="s">
        <v>100</v>
      </c>
      <c r="C78" t="s">
        <v>33</v>
      </c>
      <c r="D78" t="s">
        <v>14</v>
      </c>
      <c r="E78">
        <v>3</v>
      </c>
      <c r="F78">
        <v>19.07</v>
      </c>
      <c r="G78" t="s">
        <v>19</v>
      </c>
      <c r="H78" s="1">
        <v>45692.832604166666</v>
      </c>
    </row>
    <row r="79" spans="1:8" x14ac:dyDescent="0.25">
      <c r="A79">
        <v>2838</v>
      </c>
      <c r="B79" t="s">
        <v>101</v>
      </c>
      <c r="C79" t="s">
        <v>37</v>
      </c>
      <c r="D79" t="s">
        <v>10</v>
      </c>
      <c r="E79">
        <v>4</v>
      </c>
      <c r="F79">
        <v>17.14</v>
      </c>
      <c r="G79" t="s">
        <v>15</v>
      </c>
      <c r="H79" s="1">
        <v>45865.604305555556</v>
      </c>
    </row>
    <row r="80" spans="1:8" x14ac:dyDescent="0.25">
      <c r="A80">
        <v>6498</v>
      </c>
      <c r="B80" t="s">
        <v>102</v>
      </c>
      <c r="C80" t="s">
        <v>21</v>
      </c>
      <c r="D80" t="s">
        <v>22</v>
      </c>
      <c r="E80">
        <v>2</v>
      </c>
      <c r="F80">
        <v>9.8699999999999992</v>
      </c>
      <c r="G80" t="s">
        <v>11</v>
      </c>
      <c r="H80" s="1">
        <v>45713.487430555557</v>
      </c>
    </row>
    <row r="81" spans="1:8" x14ac:dyDescent="0.25">
      <c r="A81">
        <v>2151</v>
      </c>
      <c r="B81" t="s">
        <v>103</v>
      </c>
      <c r="C81" t="s">
        <v>40</v>
      </c>
      <c r="D81" t="s">
        <v>22</v>
      </c>
      <c r="E81">
        <v>4</v>
      </c>
      <c r="F81">
        <v>4.45</v>
      </c>
      <c r="G81" t="s">
        <v>11</v>
      </c>
      <c r="H81" s="1">
        <v>45850.359849537039</v>
      </c>
    </row>
    <row r="82" spans="1:8" x14ac:dyDescent="0.25">
      <c r="A82">
        <v>7161</v>
      </c>
      <c r="B82" t="s">
        <v>104</v>
      </c>
      <c r="C82" t="s">
        <v>13</v>
      </c>
      <c r="D82" t="s">
        <v>14</v>
      </c>
      <c r="E82">
        <v>4</v>
      </c>
      <c r="F82">
        <v>22.68</v>
      </c>
      <c r="G82" t="s">
        <v>19</v>
      </c>
      <c r="H82" s="1">
        <v>45698.11613425926</v>
      </c>
    </row>
    <row r="83" spans="1:8" x14ac:dyDescent="0.25">
      <c r="A83">
        <v>8984</v>
      </c>
      <c r="B83" t="s">
        <v>105</v>
      </c>
      <c r="C83" t="s">
        <v>13</v>
      </c>
      <c r="D83" t="s">
        <v>14</v>
      </c>
      <c r="E83">
        <v>4</v>
      </c>
      <c r="F83">
        <v>17.02</v>
      </c>
      <c r="G83" t="s">
        <v>17</v>
      </c>
      <c r="H83" s="1">
        <v>45812.30327546296</v>
      </c>
    </row>
    <row r="84" spans="1:8" x14ac:dyDescent="0.25">
      <c r="A84">
        <v>3940</v>
      </c>
      <c r="B84" t="s">
        <v>106</v>
      </c>
      <c r="C84" t="s">
        <v>9</v>
      </c>
      <c r="D84" t="s">
        <v>10</v>
      </c>
      <c r="E84">
        <v>1</v>
      </c>
      <c r="F84">
        <v>5.41</v>
      </c>
      <c r="G84" t="s">
        <v>17</v>
      </c>
      <c r="H84" s="1">
        <v>45806.208506944444</v>
      </c>
    </row>
    <row r="85" spans="1:8" x14ac:dyDescent="0.25">
      <c r="A85">
        <v>4859</v>
      </c>
      <c r="B85" t="s">
        <v>107</v>
      </c>
      <c r="C85" t="s">
        <v>40</v>
      </c>
      <c r="D85" t="s">
        <v>22</v>
      </c>
      <c r="E85">
        <v>3</v>
      </c>
      <c r="F85">
        <v>9.52</v>
      </c>
      <c r="G85" t="s">
        <v>11</v>
      </c>
      <c r="H85" s="1">
        <v>45759.605613425927</v>
      </c>
    </row>
    <row r="86" spans="1:8" x14ac:dyDescent="0.25">
      <c r="A86">
        <v>4144</v>
      </c>
      <c r="B86" t="s">
        <v>108</v>
      </c>
      <c r="C86" t="s">
        <v>35</v>
      </c>
      <c r="D86" t="s">
        <v>22</v>
      </c>
      <c r="E86">
        <v>2</v>
      </c>
      <c r="F86">
        <v>3.8</v>
      </c>
      <c r="G86" t="s">
        <v>11</v>
      </c>
      <c r="H86" s="1">
        <v>45714.854247685187</v>
      </c>
    </row>
    <row r="87" spans="1:8" x14ac:dyDescent="0.25">
      <c r="A87">
        <v>7570</v>
      </c>
      <c r="B87" t="s">
        <v>109</v>
      </c>
      <c r="C87" t="s">
        <v>30</v>
      </c>
      <c r="D87" t="s">
        <v>10</v>
      </c>
      <c r="E87">
        <v>4</v>
      </c>
      <c r="F87">
        <v>21.01</v>
      </c>
      <c r="G87" t="s">
        <v>15</v>
      </c>
      <c r="H87" s="1">
        <v>45785.511018518519</v>
      </c>
    </row>
    <row r="88" spans="1:8" x14ac:dyDescent="0.25">
      <c r="A88">
        <v>6353</v>
      </c>
      <c r="B88" t="s">
        <v>110</v>
      </c>
      <c r="C88" t="s">
        <v>13</v>
      </c>
      <c r="D88" t="s">
        <v>14</v>
      </c>
      <c r="E88">
        <v>1</v>
      </c>
      <c r="F88">
        <v>19.989999999999998</v>
      </c>
      <c r="G88" t="s">
        <v>15</v>
      </c>
      <c r="H88" s="1">
        <v>45782.85733796296</v>
      </c>
    </row>
    <row r="89" spans="1:8" x14ac:dyDescent="0.25">
      <c r="A89">
        <v>9325</v>
      </c>
      <c r="B89" t="s">
        <v>111</v>
      </c>
      <c r="C89" t="s">
        <v>33</v>
      </c>
      <c r="D89" t="s">
        <v>14</v>
      </c>
      <c r="E89">
        <v>4</v>
      </c>
      <c r="F89">
        <v>19.48</v>
      </c>
      <c r="G89" t="s">
        <v>11</v>
      </c>
      <c r="H89" s="1">
        <v>45728.337858796294</v>
      </c>
    </row>
    <row r="90" spans="1:8" x14ac:dyDescent="0.25">
      <c r="A90">
        <v>7972</v>
      </c>
      <c r="B90" t="s">
        <v>112</v>
      </c>
      <c r="C90" t="s">
        <v>28</v>
      </c>
      <c r="D90" t="s">
        <v>14</v>
      </c>
      <c r="E90">
        <v>1</v>
      </c>
      <c r="F90">
        <v>17.86</v>
      </c>
      <c r="G90" t="s">
        <v>11</v>
      </c>
      <c r="H90" s="1">
        <v>45741.220509259256</v>
      </c>
    </row>
    <row r="91" spans="1:8" x14ac:dyDescent="0.25">
      <c r="A91">
        <v>5758</v>
      </c>
      <c r="B91" t="s">
        <v>113</v>
      </c>
      <c r="C91" t="s">
        <v>40</v>
      </c>
      <c r="D91" t="s">
        <v>22</v>
      </c>
      <c r="E91">
        <v>1</v>
      </c>
      <c r="F91">
        <v>15.57</v>
      </c>
      <c r="G91" t="s">
        <v>11</v>
      </c>
      <c r="H91" s="1">
        <v>45865.256099537037</v>
      </c>
    </row>
    <row r="92" spans="1:8" x14ac:dyDescent="0.25">
      <c r="A92">
        <v>1616</v>
      </c>
      <c r="B92" t="s">
        <v>114</v>
      </c>
      <c r="C92" t="s">
        <v>28</v>
      </c>
      <c r="D92" t="s">
        <v>14</v>
      </c>
      <c r="E92">
        <v>2</v>
      </c>
      <c r="F92">
        <v>16.45</v>
      </c>
      <c r="G92" t="s">
        <v>17</v>
      </c>
      <c r="H92" s="1">
        <v>45780.60659722222</v>
      </c>
    </row>
    <row r="93" spans="1:8" x14ac:dyDescent="0.25">
      <c r="A93">
        <v>5924</v>
      </c>
      <c r="B93" t="s">
        <v>115</v>
      </c>
      <c r="C93" t="s">
        <v>40</v>
      </c>
      <c r="D93" t="s">
        <v>22</v>
      </c>
      <c r="E93">
        <v>3</v>
      </c>
      <c r="F93">
        <v>3.84</v>
      </c>
      <c r="G93" t="s">
        <v>19</v>
      </c>
      <c r="H93" s="1">
        <v>45799.168229166666</v>
      </c>
    </row>
    <row r="94" spans="1:8" x14ac:dyDescent="0.25">
      <c r="A94">
        <v>5982</v>
      </c>
      <c r="B94" t="s">
        <v>116</v>
      </c>
      <c r="C94" t="s">
        <v>33</v>
      </c>
      <c r="D94" t="s">
        <v>14</v>
      </c>
      <c r="E94">
        <v>3</v>
      </c>
      <c r="F94">
        <v>17.100000000000001</v>
      </c>
      <c r="G94" t="s">
        <v>11</v>
      </c>
      <c r="H94" s="1">
        <v>45784.362534722219</v>
      </c>
    </row>
    <row r="95" spans="1:8" x14ac:dyDescent="0.25">
      <c r="A95">
        <v>8278</v>
      </c>
      <c r="B95" t="s">
        <v>117</v>
      </c>
      <c r="C95" t="s">
        <v>13</v>
      </c>
      <c r="D95" t="s">
        <v>14</v>
      </c>
      <c r="E95">
        <v>3</v>
      </c>
      <c r="F95">
        <v>18.95</v>
      </c>
      <c r="G95" t="s">
        <v>17</v>
      </c>
      <c r="H95" s="1">
        <v>45690.10434027778</v>
      </c>
    </row>
    <row r="96" spans="1:8" x14ac:dyDescent="0.25">
      <c r="A96">
        <v>6080</v>
      </c>
      <c r="B96" t="s">
        <v>118</v>
      </c>
      <c r="C96" t="s">
        <v>28</v>
      </c>
      <c r="D96" t="s">
        <v>14</v>
      </c>
      <c r="E96">
        <v>5</v>
      </c>
      <c r="F96">
        <v>20.81</v>
      </c>
      <c r="G96" t="s">
        <v>15</v>
      </c>
      <c r="H96" s="1">
        <v>45705.402361111112</v>
      </c>
    </row>
    <row r="97" spans="1:8" x14ac:dyDescent="0.25">
      <c r="A97">
        <v>4056</v>
      </c>
      <c r="B97" t="s">
        <v>119</v>
      </c>
      <c r="C97" t="s">
        <v>37</v>
      </c>
      <c r="D97" t="s">
        <v>10</v>
      </c>
      <c r="E97">
        <v>4</v>
      </c>
      <c r="F97">
        <v>15.11</v>
      </c>
      <c r="G97" t="s">
        <v>19</v>
      </c>
      <c r="H97" s="1">
        <v>45828.92015046296</v>
      </c>
    </row>
    <row r="98" spans="1:8" x14ac:dyDescent="0.25">
      <c r="A98">
        <v>8091</v>
      </c>
      <c r="B98" t="s">
        <v>120</v>
      </c>
      <c r="C98" t="s">
        <v>35</v>
      </c>
      <c r="D98" t="s">
        <v>22</v>
      </c>
      <c r="E98">
        <v>5</v>
      </c>
      <c r="F98">
        <v>9.49</v>
      </c>
      <c r="G98" t="s">
        <v>11</v>
      </c>
      <c r="H98" s="1">
        <v>45800.186203703706</v>
      </c>
    </row>
    <row r="99" spans="1:8" x14ac:dyDescent="0.25">
      <c r="A99">
        <v>7043</v>
      </c>
      <c r="B99" t="s">
        <v>121</v>
      </c>
      <c r="C99" t="s">
        <v>35</v>
      </c>
      <c r="D99" t="s">
        <v>22</v>
      </c>
      <c r="E99">
        <v>2</v>
      </c>
      <c r="F99">
        <v>5.93</v>
      </c>
      <c r="G99" t="s">
        <v>17</v>
      </c>
      <c r="H99" s="1">
        <v>45829.808831018519</v>
      </c>
    </row>
    <row r="100" spans="1:8" x14ac:dyDescent="0.25">
      <c r="A100">
        <v>1816</v>
      </c>
      <c r="B100" t="s">
        <v>122</v>
      </c>
      <c r="C100" t="s">
        <v>13</v>
      </c>
      <c r="D100" t="s">
        <v>14</v>
      </c>
      <c r="E100">
        <v>3</v>
      </c>
      <c r="F100">
        <v>21.93</v>
      </c>
      <c r="G100" t="s">
        <v>11</v>
      </c>
      <c r="H100" s="1">
        <v>45756.830925925926</v>
      </c>
    </row>
    <row r="101" spans="1:8" x14ac:dyDescent="0.25">
      <c r="A101">
        <v>4827</v>
      </c>
      <c r="B101" t="s">
        <v>123</v>
      </c>
      <c r="C101" t="s">
        <v>21</v>
      </c>
      <c r="D101" t="s">
        <v>22</v>
      </c>
      <c r="E101">
        <v>2</v>
      </c>
      <c r="F101">
        <v>13.38</v>
      </c>
      <c r="G101" t="s">
        <v>15</v>
      </c>
      <c r="H101" s="1">
        <v>45770.804537037038</v>
      </c>
    </row>
    <row r="102" spans="1:8" x14ac:dyDescent="0.25">
      <c r="A102">
        <v>7636</v>
      </c>
      <c r="B102" t="s">
        <v>124</v>
      </c>
      <c r="C102" t="s">
        <v>9</v>
      </c>
      <c r="D102" t="s">
        <v>10</v>
      </c>
      <c r="E102">
        <v>4</v>
      </c>
      <c r="F102">
        <v>18.54</v>
      </c>
      <c r="G102" t="s">
        <v>17</v>
      </c>
      <c r="H102" s="1">
        <v>45819.148020833331</v>
      </c>
    </row>
    <row r="103" spans="1:8" x14ac:dyDescent="0.25">
      <c r="A103">
        <v>6721</v>
      </c>
      <c r="B103" t="s">
        <v>125</v>
      </c>
      <c r="C103" t="s">
        <v>40</v>
      </c>
      <c r="D103" t="s">
        <v>22</v>
      </c>
      <c r="E103">
        <v>5</v>
      </c>
      <c r="F103">
        <v>5.87</v>
      </c>
      <c r="G103" t="s">
        <v>11</v>
      </c>
      <c r="H103" s="1">
        <v>45813.515902777777</v>
      </c>
    </row>
    <row r="104" spans="1:8" x14ac:dyDescent="0.25">
      <c r="A104">
        <v>1278</v>
      </c>
      <c r="B104" t="s">
        <v>126</v>
      </c>
      <c r="C104" t="s">
        <v>40</v>
      </c>
      <c r="D104" t="s">
        <v>22</v>
      </c>
      <c r="E104">
        <v>3</v>
      </c>
      <c r="F104">
        <v>8.6999999999999993</v>
      </c>
      <c r="G104" t="s">
        <v>11</v>
      </c>
      <c r="H104" s="1">
        <v>45752.523553240739</v>
      </c>
    </row>
    <row r="105" spans="1:8" x14ac:dyDescent="0.25">
      <c r="A105">
        <v>5594</v>
      </c>
      <c r="B105" t="s">
        <v>127</v>
      </c>
      <c r="C105" t="s">
        <v>33</v>
      </c>
      <c r="D105" t="s">
        <v>14</v>
      </c>
      <c r="E105">
        <v>5</v>
      </c>
      <c r="F105">
        <v>16.809999999999999</v>
      </c>
      <c r="G105" t="s">
        <v>19</v>
      </c>
      <c r="H105" s="1">
        <v>45694.018900462965</v>
      </c>
    </row>
    <row r="106" spans="1:8" x14ac:dyDescent="0.25">
      <c r="A106">
        <v>5954</v>
      </c>
      <c r="B106" t="s">
        <v>128</v>
      </c>
      <c r="C106" t="s">
        <v>9</v>
      </c>
      <c r="D106" t="s">
        <v>10</v>
      </c>
      <c r="E106">
        <v>3</v>
      </c>
      <c r="F106">
        <v>6.4</v>
      </c>
      <c r="G106" t="s">
        <v>15</v>
      </c>
      <c r="H106" s="1">
        <v>45739.697453703702</v>
      </c>
    </row>
    <row r="107" spans="1:8" x14ac:dyDescent="0.25">
      <c r="A107">
        <v>3308</v>
      </c>
      <c r="B107" t="s">
        <v>129</v>
      </c>
      <c r="C107" t="s">
        <v>37</v>
      </c>
      <c r="D107" t="s">
        <v>10</v>
      </c>
      <c r="E107">
        <v>4</v>
      </c>
      <c r="F107">
        <v>8.66</v>
      </c>
      <c r="G107" t="s">
        <v>11</v>
      </c>
      <c r="H107" s="1">
        <v>45726.297546296293</v>
      </c>
    </row>
    <row r="108" spans="1:8" x14ac:dyDescent="0.25">
      <c r="A108">
        <v>9276</v>
      </c>
      <c r="B108" t="s">
        <v>130</v>
      </c>
      <c r="C108" t="s">
        <v>40</v>
      </c>
      <c r="D108" t="s">
        <v>22</v>
      </c>
      <c r="E108">
        <v>4</v>
      </c>
      <c r="F108">
        <v>21.35</v>
      </c>
      <c r="G108" t="s">
        <v>15</v>
      </c>
      <c r="H108" s="1">
        <v>45767.478229166663</v>
      </c>
    </row>
    <row r="109" spans="1:8" x14ac:dyDescent="0.25">
      <c r="A109">
        <v>4011</v>
      </c>
      <c r="B109" t="s">
        <v>131</v>
      </c>
      <c r="C109" t="s">
        <v>37</v>
      </c>
      <c r="D109" t="s">
        <v>10</v>
      </c>
      <c r="E109">
        <v>1</v>
      </c>
      <c r="F109">
        <v>6.17</v>
      </c>
      <c r="G109" t="s">
        <v>17</v>
      </c>
      <c r="H109" s="1">
        <v>45805.635717592595</v>
      </c>
    </row>
    <row r="110" spans="1:8" x14ac:dyDescent="0.25">
      <c r="A110">
        <v>8874</v>
      </c>
      <c r="B110" t="s">
        <v>132</v>
      </c>
      <c r="C110" t="s">
        <v>37</v>
      </c>
      <c r="D110" t="s">
        <v>10</v>
      </c>
      <c r="E110">
        <v>1</v>
      </c>
      <c r="F110">
        <v>23.88</v>
      </c>
      <c r="G110" t="s">
        <v>11</v>
      </c>
      <c r="H110" s="1">
        <v>45843.13753472222</v>
      </c>
    </row>
    <row r="111" spans="1:8" x14ac:dyDescent="0.25">
      <c r="A111">
        <v>8824</v>
      </c>
      <c r="B111" t="s">
        <v>133</v>
      </c>
      <c r="C111" t="s">
        <v>30</v>
      </c>
      <c r="D111" t="s">
        <v>10</v>
      </c>
      <c r="E111">
        <v>4</v>
      </c>
      <c r="F111">
        <v>4.68</v>
      </c>
      <c r="G111" t="s">
        <v>11</v>
      </c>
      <c r="H111" s="1">
        <v>45785.567986111113</v>
      </c>
    </row>
    <row r="112" spans="1:8" x14ac:dyDescent="0.25">
      <c r="A112">
        <v>6823</v>
      </c>
      <c r="B112" t="s">
        <v>134</v>
      </c>
      <c r="C112" t="s">
        <v>28</v>
      </c>
      <c r="D112" t="s">
        <v>14</v>
      </c>
      <c r="E112">
        <v>4</v>
      </c>
      <c r="F112">
        <v>10.8</v>
      </c>
      <c r="G112" t="s">
        <v>17</v>
      </c>
      <c r="H112" s="1">
        <v>45708.76059027778</v>
      </c>
    </row>
    <row r="113" spans="1:8" x14ac:dyDescent="0.25">
      <c r="A113">
        <v>7479</v>
      </c>
      <c r="B113" t="s">
        <v>135</v>
      </c>
      <c r="C113" t="s">
        <v>30</v>
      </c>
      <c r="D113" t="s">
        <v>10</v>
      </c>
      <c r="E113">
        <v>5</v>
      </c>
      <c r="F113">
        <v>10.93</v>
      </c>
      <c r="G113" t="s">
        <v>15</v>
      </c>
      <c r="H113" s="1">
        <v>45792.831782407404</v>
      </c>
    </row>
    <row r="114" spans="1:8" x14ac:dyDescent="0.25">
      <c r="A114">
        <v>6622</v>
      </c>
      <c r="B114" t="s">
        <v>136</v>
      </c>
      <c r="C114" t="s">
        <v>28</v>
      </c>
      <c r="D114" t="s">
        <v>14</v>
      </c>
      <c r="E114">
        <v>4</v>
      </c>
      <c r="F114">
        <v>3.47</v>
      </c>
      <c r="G114" t="s">
        <v>15</v>
      </c>
      <c r="H114" s="1">
        <v>45828.994733796295</v>
      </c>
    </row>
    <row r="115" spans="1:8" x14ac:dyDescent="0.25">
      <c r="A115">
        <v>5624</v>
      </c>
      <c r="B115" t="s">
        <v>137</v>
      </c>
      <c r="C115" t="s">
        <v>9</v>
      </c>
      <c r="D115" t="s">
        <v>10</v>
      </c>
      <c r="E115">
        <v>5</v>
      </c>
      <c r="F115">
        <v>20.07</v>
      </c>
      <c r="G115" t="s">
        <v>17</v>
      </c>
      <c r="H115" s="1">
        <v>45751.68645833333</v>
      </c>
    </row>
    <row r="116" spans="1:8" x14ac:dyDescent="0.25">
      <c r="A116">
        <v>3244</v>
      </c>
      <c r="B116" t="s">
        <v>138</v>
      </c>
      <c r="C116" t="s">
        <v>30</v>
      </c>
      <c r="D116" t="s">
        <v>10</v>
      </c>
      <c r="E116">
        <v>5</v>
      </c>
      <c r="F116">
        <v>2.35</v>
      </c>
      <c r="G116" t="s">
        <v>17</v>
      </c>
      <c r="H116" s="1">
        <v>45716.609189814815</v>
      </c>
    </row>
    <row r="117" spans="1:8" x14ac:dyDescent="0.25">
      <c r="A117">
        <v>6592</v>
      </c>
      <c r="B117" t="s">
        <v>139</v>
      </c>
      <c r="C117" t="s">
        <v>35</v>
      </c>
      <c r="D117" t="s">
        <v>22</v>
      </c>
      <c r="E117">
        <v>1</v>
      </c>
      <c r="F117">
        <v>8.8800000000000008</v>
      </c>
      <c r="G117" t="s">
        <v>19</v>
      </c>
      <c r="H117" s="1">
        <v>45797.490347222221</v>
      </c>
    </row>
    <row r="118" spans="1:8" x14ac:dyDescent="0.25">
      <c r="A118">
        <v>3652</v>
      </c>
      <c r="B118" t="s">
        <v>140</v>
      </c>
      <c r="C118" t="s">
        <v>40</v>
      </c>
      <c r="D118" t="s">
        <v>22</v>
      </c>
      <c r="E118">
        <v>5</v>
      </c>
      <c r="F118">
        <v>21.85</v>
      </c>
      <c r="G118" t="s">
        <v>17</v>
      </c>
      <c r="H118" s="1">
        <v>45726.316990740743</v>
      </c>
    </row>
    <row r="119" spans="1:8" x14ac:dyDescent="0.25">
      <c r="A119">
        <v>8051</v>
      </c>
      <c r="B119" t="s">
        <v>141</v>
      </c>
      <c r="C119" t="s">
        <v>30</v>
      </c>
      <c r="D119" t="s">
        <v>10</v>
      </c>
      <c r="E119">
        <v>3</v>
      </c>
      <c r="F119">
        <v>22.52</v>
      </c>
      <c r="G119" t="s">
        <v>17</v>
      </c>
      <c r="H119" s="1">
        <v>45881.464490740742</v>
      </c>
    </row>
    <row r="120" spans="1:8" x14ac:dyDescent="0.25">
      <c r="A120">
        <v>9739</v>
      </c>
      <c r="B120" t="s">
        <v>142</v>
      </c>
      <c r="C120" t="s">
        <v>28</v>
      </c>
      <c r="D120" t="s">
        <v>14</v>
      </c>
      <c r="E120">
        <v>5</v>
      </c>
      <c r="F120">
        <v>19.649999999999999</v>
      </c>
      <c r="G120" t="s">
        <v>17</v>
      </c>
      <c r="H120" s="1">
        <v>45730.247187499997</v>
      </c>
    </row>
    <row r="121" spans="1:8" x14ac:dyDescent="0.25">
      <c r="A121">
        <v>9126</v>
      </c>
      <c r="B121" t="s">
        <v>143</v>
      </c>
      <c r="C121" t="s">
        <v>13</v>
      </c>
      <c r="D121" t="s">
        <v>14</v>
      </c>
      <c r="E121">
        <v>5</v>
      </c>
      <c r="F121">
        <v>23.28</v>
      </c>
      <c r="G121" t="s">
        <v>17</v>
      </c>
      <c r="H121" s="1">
        <v>45662.271724537037</v>
      </c>
    </row>
    <row r="122" spans="1:8" x14ac:dyDescent="0.25">
      <c r="A122">
        <v>1770</v>
      </c>
      <c r="B122" t="s">
        <v>144</v>
      </c>
      <c r="C122" t="s">
        <v>13</v>
      </c>
      <c r="D122" t="s">
        <v>14</v>
      </c>
      <c r="E122">
        <v>1</v>
      </c>
      <c r="F122">
        <v>20.5</v>
      </c>
      <c r="G122" t="s">
        <v>19</v>
      </c>
      <c r="H122" s="1">
        <v>45745.223993055559</v>
      </c>
    </row>
    <row r="123" spans="1:8" x14ac:dyDescent="0.25">
      <c r="A123">
        <v>9240</v>
      </c>
      <c r="B123" t="s">
        <v>145</v>
      </c>
      <c r="C123" t="s">
        <v>13</v>
      </c>
      <c r="D123" t="s">
        <v>14</v>
      </c>
      <c r="E123">
        <v>5</v>
      </c>
      <c r="F123">
        <v>7.57</v>
      </c>
      <c r="G123" t="s">
        <v>15</v>
      </c>
      <c r="H123" s="1">
        <v>45870.370532407411</v>
      </c>
    </row>
    <row r="124" spans="1:8" x14ac:dyDescent="0.25">
      <c r="A124">
        <v>8168</v>
      </c>
      <c r="B124" t="s">
        <v>146</v>
      </c>
      <c r="C124" t="s">
        <v>40</v>
      </c>
      <c r="D124" t="s">
        <v>22</v>
      </c>
      <c r="E124">
        <v>2</v>
      </c>
      <c r="F124">
        <v>5.95</v>
      </c>
      <c r="G124" t="s">
        <v>17</v>
      </c>
      <c r="H124" s="1">
        <v>45690.072789351849</v>
      </c>
    </row>
    <row r="125" spans="1:8" x14ac:dyDescent="0.25">
      <c r="A125">
        <v>6967</v>
      </c>
      <c r="B125" t="s">
        <v>147</v>
      </c>
      <c r="C125" t="s">
        <v>37</v>
      </c>
      <c r="D125" t="s">
        <v>10</v>
      </c>
      <c r="E125">
        <v>2</v>
      </c>
      <c r="F125">
        <v>2.17</v>
      </c>
      <c r="G125" t="s">
        <v>15</v>
      </c>
      <c r="H125" s="1">
        <v>45796.658148148148</v>
      </c>
    </row>
    <row r="126" spans="1:8" x14ac:dyDescent="0.25">
      <c r="A126">
        <v>9764</v>
      </c>
      <c r="B126" t="s">
        <v>148</v>
      </c>
      <c r="C126" t="s">
        <v>37</v>
      </c>
      <c r="D126" t="s">
        <v>10</v>
      </c>
      <c r="E126">
        <v>5</v>
      </c>
      <c r="F126">
        <v>18.14</v>
      </c>
      <c r="G126" t="s">
        <v>15</v>
      </c>
      <c r="H126" s="1">
        <v>45846.208032407405</v>
      </c>
    </row>
    <row r="127" spans="1:8" x14ac:dyDescent="0.25">
      <c r="A127">
        <v>3017</v>
      </c>
      <c r="B127" t="s">
        <v>149</v>
      </c>
      <c r="C127" t="s">
        <v>33</v>
      </c>
      <c r="D127" t="s">
        <v>14</v>
      </c>
      <c r="E127">
        <v>1</v>
      </c>
      <c r="F127">
        <v>14.93</v>
      </c>
      <c r="G127" t="s">
        <v>15</v>
      </c>
      <c r="H127" s="1">
        <v>45751.463958333334</v>
      </c>
    </row>
    <row r="128" spans="1:8" x14ac:dyDescent="0.25">
      <c r="A128">
        <v>8430</v>
      </c>
      <c r="B128" t="s">
        <v>150</v>
      </c>
      <c r="C128" t="s">
        <v>33</v>
      </c>
      <c r="D128" t="s">
        <v>14</v>
      </c>
      <c r="E128">
        <v>1</v>
      </c>
      <c r="F128">
        <v>4.0999999999999996</v>
      </c>
      <c r="G128" t="s">
        <v>11</v>
      </c>
      <c r="H128" s="1">
        <v>45870.863703703704</v>
      </c>
    </row>
    <row r="129" spans="1:8" x14ac:dyDescent="0.25">
      <c r="A129">
        <v>6443</v>
      </c>
      <c r="B129" t="s">
        <v>151</v>
      </c>
      <c r="C129" t="s">
        <v>9</v>
      </c>
      <c r="D129" t="s">
        <v>10</v>
      </c>
      <c r="E129">
        <v>1</v>
      </c>
      <c r="F129">
        <v>7.93</v>
      </c>
      <c r="G129" t="s">
        <v>11</v>
      </c>
      <c r="H129" s="1">
        <v>45835.082650462966</v>
      </c>
    </row>
    <row r="130" spans="1:8" x14ac:dyDescent="0.25">
      <c r="A130">
        <v>5320</v>
      </c>
      <c r="B130" t="s">
        <v>152</v>
      </c>
      <c r="C130" t="s">
        <v>35</v>
      </c>
      <c r="D130" t="s">
        <v>22</v>
      </c>
      <c r="E130">
        <v>3</v>
      </c>
      <c r="F130">
        <v>5.49</v>
      </c>
      <c r="G130" t="s">
        <v>19</v>
      </c>
      <c r="H130" s="1">
        <v>45835.159884259258</v>
      </c>
    </row>
    <row r="131" spans="1:8" x14ac:dyDescent="0.25">
      <c r="A131">
        <v>9963</v>
      </c>
      <c r="B131" t="s">
        <v>153</v>
      </c>
      <c r="C131" t="s">
        <v>9</v>
      </c>
      <c r="D131" t="s">
        <v>10</v>
      </c>
      <c r="E131">
        <v>4</v>
      </c>
      <c r="F131">
        <v>3.07</v>
      </c>
      <c r="G131" t="s">
        <v>15</v>
      </c>
      <c r="H131" s="1">
        <v>45693.916631944441</v>
      </c>
    </row>
    <row r="132" spans="1:8" x14ac:dyDescent="0.25">
      <c r="A132">
        <v>8629</v>
      </c>
      <c r="B132" t="s">
        <v>154</v>
      </c>
      <c r="C132" t="s">
        <v>30</v>
      </c>
      <c r="D132" t="s">
        <v>10</v>
      </c>
      <c r="E132">
        <v>1</v>
      </c>
      <c r="F132">
        <v>9.2799999999999994</v>
      </c>
      <c r="G132" t="s">
        <v>15</v>
      </c>
      <c r="H132" s="1">
        <v>45664.318078703705</v>
      </c>
    </row>
    <row r="133" spans="1:8" x14ac:dyDescent="0.25">
      <c r="A133">
        <v>6802</v>
      </c>
      <c r="B133" t="s">
        <v>155</v>
      </c>
      <c r="C133" t="s">
        <v>40</v>
      </c>
      <c r="D133" t="s">
        <v>22</v>
      </c>
      <c r="E133">
        <v>2</v>
      </c>
      <c r="F133">
        <v>8.41</v>
      </c>
      <c r="G133" t="s">
        <v>17</v>
      </c>
      <c r="H133" s="1">
        <v>45859.030138888891</v>
      </c>
    </row>
    <row r="134" spans="1:8" x14ac:dyDescent="0.25">
      <c r="A134">
        <v>3953</v>
      </c>
      <c r="B134" t="s">
        <v>156</v>
      </c>
      <c r="C134" t="s">
        <v>40</v>
      </c>
      <c r="D134" t="s">
        <v>22</v>
      </c>
      <c r="E134">
        <v>4</v>
      </c>
      <c r="F134">
        <v>13.31</v>
      </c>
      <c r="G134" t="s">
        <v>15</v>
      </c>
      <c r="H134" s="1">
        <v>45857.077939814815</v>
      </c>
    </row>
    <row r="135" spans="1:8" x14ac:dyDescent="0.25">
      <c r="A135">
        <v>3982</v>
      </c>
      <c r="B135" t="s">
        <v>157</v>
      </c>
      <c r="C135" t="s">
        <v>21</v>
      </c>
      <c r="D135" t="s">
        <v>22</v>
      </c>
      <c r="E135">
        <v>4</v>
      </c>
      <c r="F135">
        <v>21.02</v>
      </c>
      <c r="G135" t="s">
        <v>15</v>
      </c>
      <c r="H135" s="1">
        <v>45767.474907407406</v>
      </c>
    </row>
    <row r="136" spans="1:8" x14ac:dyDescent="0.25">
      <c r="A136">
        <v>7240</v>
      </c>
      <c r="B136" t="s">
        <v>158</v>
      </c>
      <c r="C136" t="s">
        <v>33</v>
      </c>
      <c r="D136" t="s">
        <v>14</v>
      </c>
      <c r="E136">
        <v>4</v>
      </c>
      <c r="F136">
        <v>19.190000000000001</v>
      </c>
      <c r="G136" t="s">
        <v>19</v>
      </c>
      <c r="H136" s="1">
        <v>45774.835486111115</v>
      </c>
    </row>
    <row r="137" spans="1:8" x14ac:dyDescent="0.25">
      <c r="A137">
        <v>6404</v>
      </c>
      <c r="B137" t="s">
        <v>159</v>
      </c>
      <c r="C137" t="s">
        <v>13</v>
      </c>
      <c r="D137" t="s">
        <v>14</v>
      </c>
      <c r="E137">
        <v>5</v>
      </c>
      <c r="F137">
        <v>16.54</v>
      </c>
      <c r="G137" t="s">
        <v>11</v>
      </c>
      <c r="H137" s="1">
        <v>45722.812939814816</v>
      </c>
    </row>
    <row r="138" spans="1:8" x14ac:dyDescent="0.25">
      <c r="A138">
        <v>2430</v>
      </c>
      <c r="B138" t="s">
        <v>160</v>
      </c>
      <c r="C138" t="s">
        <v>28</v>
      </c>
      <c r="D138" t="s">
        <v>14</v>
      </c>
      <c r="E138">
        <v>1</v>
      </c>
      <c r="F138">
        <v>10.69</v>
      </c>
      <c r="G138" t="s">
        <v>15</v>
      </c>
      <c r="H138" s="1">
        <v>45781.483726851853</v>
      </c>
    </row>
    <row r="139" spans="1:8" x14ac:dyDescent="0.25">
      <c r="A139">
        <v>4728</v>
      </c>
      <c r="B139" t="s">
        <v>161</v>
      </c>
      <c r="C139" t="s">
        <v>13</v>
      </c>
      <c r="D139" t="s">
        <v>14</v>
      </c>
      <c r="E139">
        <v>1</v>
      </c>
      <c r="F139">
        <v>22.89</v>
      </c>
      <c r="G139" t="s">
        <v>11</v>
      </c>
      <c r="H139" s="1">
        <v>45834.899016203701</v>
      </c>
    </row>
    <row r="140" spans="1:8" x14ac:dyDescent="0.25">
      <c r="A140">
        <v>2261</v>
      </c>
      <c r="B140" t="s">
        <v>162</v>
      </c>
      <c r="C140" t="s">
        <v>21</v>
      </c>
      <c r="D140" t="s">
        <v>22</v>
      </c>
      <c r="E140">
        <v>2</v>
      </c>
      <c r="F140">
        <v>12.87</v>
      </c>
      <c r="G140" t="s">
        <v>11</v>
      </c>
      <c r="H140" s="1">
        <v>45673.245509259257</v>
      </c>
    </row>
    <row r="141" spans="1:8" x14ac:dyDescent="0.25">
      <c r="A141">
        <v>8382</v>
      </c>
      <c r="B141" t="s">
        <v>163</v>
      </c>
      <c r="C141" t="s">
        <v>37</v>
      </c>
      <c r="D141" t="s">
        <v>10</v>
      </c>
      <c r="E141">
        <v>3</v>
      </c>
      <c r="F141">
        <v>6.65</v>
      </c>
      <c r="G141" t="s">
        <v>17</v>
      </c>
      <c r="H141" s="1">
        <v>45867.294849537036</v>
      </c>
    </row>
    <row r="142" spans="1:8" x14ac:dyDescent="0.25">
      <c r="A142">
        <v>2110</v>
      </c>
      <c r="B142" t="s">
        <v>164</v>
      </c>
      <c r="C142" t="s">
        <v>21</v>
      </c>
      <c r="D142" t="s">
        <v>22</v>
      </c>
      <c r="E142">
        <v>1</v>
      </c>
      <c r="F142">
        <v>20</v>
      </c>
      <c r="G142" t="s">
        <v>11</v>
      </c>
      <c r="H142" s="1">
        <v>45798.913136574076</v>
      </c>
    </row>
    <row r="143" spans="1:8" x14ac:dyDescent="0.25">
      <c r="A143">
        <v>5394</v>
      </c>
      <c r="B143" t="s">
        <v>165</v>
      </c>
      <c r="C143" t="s">
        <v>13</v>
      </c>
      <c r="D143" t="s">
        <v>14</v>
      </c>
      <c r="E143">
        <v>3</v>
      </c>
      <c r="F143">
        <v>2.16</v>
      </c>
      <c r="G143" t="s">
        <v>19</v>
      </c>
      <c r="H143" s="1">
        <v>45804.805393518516</v>
      </c>
    </row>
    <row r="144" spans="1:8" x14ac:dyDescent="0.25">
      <c r="A144">
        <v>5411</v>
      </c>
      <c r="B144" t="s">
        <v>166</v>
      </c>
      <c r="C144" t="s">
        <v>37</v>
      </c>
      <c r="D144" t="s">
        <v>10</v>
      </c>
      <c r="E144">
        <v>1</v>
      </c>
      <c r="F144">
        <v>2.46</v>
      </c>
      <c r="G144" t="s">
        <v>19</v>
      </c>
      <c r="H144" s="1">
        <v>45799.708564814813</v>
      </c>
    </row>
    <row r="145" spans="1:8" x14ac:dyDescent="0.25">
      <c r="A145">
        <v>9087</v>
      </c>
      <c r="B145" t="s">
        <v>167</v>
      </c>
      <c r="C145" t="s">
        <v>13</v>
      </c>
      <c r="D145" t="s">
        <v>14</v>
      </c>
      <c r="E145">
        <v>1</v>
      </c>
      <c r="F145">
        <v>5.68</v>
      </c>
      <c r="G145" t="s">
        <v>15</v>
      </c>
      <c r="H145" s="1">
        <v>45805.243634259263</v>
      </c>
    </row>
    <row r="146" spans="1:8" x14ac:dyDescent="0.25">
      <c r="A146">
        <v>4846</v>
      </c>
      <c r="B146" t="s">
        <v>168</v>
      </c>
      <c r="C146" t="s">
        <v>35</v>
      </c>
      <c r="D146" t="s">
        <v>22</v>
      </c>
      <c r="E146">
        <v>2</v>
      </c>
      <c r="F146">
        <v>10.54</v>
      </c>
      <c r="G146" t="s">
        <v>17</v>
      </c>
      <c r="H146" s="1">
        <v>45751.267997685187</v>
      </c>
    </row>
    <row r="147" spans="1:8" x14ac:dyDescent="0.25">
      <c r="A147">
        <v>3025</v>
      </c>
      <c r="B147" t="s">
        <v>169</v>
      </c>
      <c r="C147" t="s">
        <v>13</v>
      </c>
      <c r="D147" t="s">
        <v>14</v>
      </c>
      <c r="E147">
        <v>4</v>
      </c>
      <c r="F147">
        <v>14.35</v>
      </c>
      <c r="G147" t="s">
        <v>17</v>
      </c>
      <c r="H147" s="1">
        <v>45854.961284722223</v>
      </c>
    </row>
    <row r="148" spans="1:8" x14ac:dyDescent="0.25">
      <c r="A148">
        <v>7969</v>
      </c>
      <c r="B148" t="s">
        <v>170</v>
      </c>
      <c r="C148" t="s">
        <v>30</v>
      </c>
      <c r="D148" t="s">
        <v>10</v>
      </c>
      <c r="E148">
        <v>4</v>
      </c>
      <c r="F148">
        <v>13.99</v>
      </c>
      <c r="G148" t="s">
        <v>17</v>
      </c>
      <c r="H148" s="1">
        <v>45702.200104166666</v>
      </c>
    </row>
    <row r="149" spans="1:8" x14ac:dyDescent="0.25">
      <c r="A149">
        <v>5906</v>
      </c>
      <c r="B149" t="s">
        <v>171</v>
      </c>
      <c r="C149" t="s">
        <v>35</v>
      </c>
      <c r="D149" t="s">
        <v>22</v>
      </c>
      <c r="E149">
        <v>3</v>
      </c>
      <c r="F149">
        <v>4.63</v>
      </c>
      <c r="G149" t="s">
        <v>17</v>
      </c>
      <c r="H149" s="1">
        <v>45810.441388888888</v>
      </c>
    </row>
    <row r="150" spans="1:8" x14ac:dyDescent="0.25">
      <c r="A150">
        <v>6116</v>
      </c>
      <c r="B150" t="s">
        <v>172</v>
      </c>
      <c r="C150" t="s">
        <v>30</v>
      </c>
      <c r="D150" t="s">
        <v>10</v>
      </c>
      <c r="E150">
        <v>5</v>
      </c>
      <c r="F150">
        <v>4.95</v>
      </c>
      <c r="G150" t="s">
        <v>19</v>
      </c>
      <c r="H150" s="1">
        <v>45699.116886574076</v>
      </c>
    </row>
    <row r="151" spans="1:8" x14ac:dyDescent="0.25">
      <c r="A151">
        <v>3655</v>
      </c>
      <c r="B151" t="s">
        <v>173</v>
      </c>
      <c r="C151" t="s">
        <v>35</v>
      </c>
      <c r="D151" t="s">
        <v>22</v>
      </c>
      <c r="E151">
        <v>1</v>
      </c>
      <c r="F151">
        <v>6.07</v>
      </c>
      <c r="G151" t="s">
        <v>15</v>
      </c>
      <c r="H151" s="1">
        <v>45668.519270833334</v>
      </c>
    </row>
    <row r="152" spans="1:8" x14ac:dyDescent="0.25">
      <c r="A152">
        <v>6789</v>
      </c>
      <c r="B152" t="s">
        <v>174</v>
      </c>
      <c r="C152" t="s">
        <v>13</v>
      </c>
      <c r="D152" t="s">
        <v>14</v>
      </c>
      <c r="E152">
        <v>5</v>
      </c>
      <c r="F152">
        <v>22.18</v>
      </c>
      <c r="G152" t="s">
        <v>11</v>
      </c>
      <c r="H152" s="1">
        <v>45822.622800925928</v>
      </c>
    </row>
    <row r="153" spans="1:8" x14ac:dyDescent="0.25">
      <c r="A153">
        <v>7824</v>
      </c>
      <c r="B153" t="s">
        <v>175</v>
      </c>
      <c r="C153" t="s">
        <v>13</v>
      </c>
      <c r="D153" t="s">
        <v>14</v>
      </c>
      <c r="E153">
        <v>5</v>
      </c>
      <c r="F153">
        <v>9.8800000000000008</v>
      </c>
      <c r="G153" t="s">
        <v>11</v>
      </c>
      <c r="H153" s="1">
        <v>45799.898668981485</v>
      </c>
    </row>
    <row r="154" spans="1:8" x14ac:dyDescent="0.25">
      <c r="A154">
        <v>7257</v>
      </c>
      <c r="B154" t="s">
        <v>176</v>
      </c>
      <c r="C154" t="s">
        <v>37</v>
      </c>
      <c r="D154" t="s">
        <v>10</v>
      </c>
      <c r="E154">
        <v>3</v>
      </c>
      <c r="F154">
        <v>11.61</v>
      </c>
      <c r="G154" t="s">
        <v>15</v>
      </c>
      <c r="H154" s="1">
        <v>45748.630729166667</v>
      </c>
    </row>
    <row r="155" spans="1:8" x14ac:dyDescent="0.25">
      <c r="A155">
        <v>9301</v>
      </c>
      <c r="B155" t="s">
        <v>177</v>
      </c>
      <c r="C155" t="s">
        <v>9</v>
      </c>
      <c r="D155" t="s">
        <v>10</v>
      </c>
      <c r="E155">
        <v>1</v>
      </c>
      <c r="F155">
        <v>17.89</v>
      </c>
      <c r="G155" t="s">
        <v>17</v>
      </c>
      <c r="H155" s="1">
        <v>45754.322060185186</v>
      </c>
    </row>
    <row r="156" spans="1:8" x14ac:dyDescent="0.25">
      <c r="A156">
        <v>3172</v>
      </c>
      <c r="B156" t="s">
        <v>178</v>
      </c>
      <c r="C156" t="s">
        <v>28</v>
      </c>
      <c r="D156" t="s">
        <v>14</v>
      </c>
      <c r="E156">
        <v>1</v>
      </c>
      <c r="F156">
        <v>4.57</v>
      </c>
      <c r="G156" t="s">
        <v>19</v>
      </c>
      <c r="H156" s="1">
        <v>45690.202418981484</v>
      </c>
    </row>
    <row r="157" spans="1:8" x14ac:dyDescent="0.25">
      <c r="A157">
        <v>4811</v>
      </c>
      <c r="B157" t="s">
        <v>179</v>
      </c>
      <c r="C157" t="s">
        <v>40</v>
      </c>
      <c r="D157" t="s">
        <v>22</v>
      </c>
      <c r="E157">
        <v>5</v>
      </c>
      <c r="F157">
        <v>8.06</v>
      </c>
      <c r="G157" t="s">
        <v>11</v>
      </c>
      <c r="H157" s="1">
        <v>45660.254814814813</v>
      </c>
    </row>
    <row r="158" spans="1:8" x14ac:dyDescent="0.25">
      <c r="A158">
        <v>5358</v>
      </c>
      <c r="B158" t="s">
        <v>180</v>
      </c>
      <c r="C158" t="s">
        <v>21</v>
      </c>
      <c r="D158" t="s">
        <v>22</v>
      </c>
      <c r="E158">
        <v>4</v>
      </c>
      <c r="F158">
        <v>5.53</v>
      </c>
      <c r="G158" t="s">
        <v>19</v>
      </c>
      <c r="H158" s="1">
        <v>45861.524583333332</v>
      </c>
    </row>
    <row r="159" spans="1:8" x14ac:dyDescent="0.25">
      <c r="A159">
        <v>3721</v>
      </c>
      <c r="B159" t="s">
        <v>181</v>
      </c>
      <c r="C159" t="s">
        <v>33</v>
      </c>
      <c r="D159" t="s">
        <v>14</v>
      </c>
      <c r="E159">
        <v>1</v>
      </c>
      <c r="F159">
        <v>21.76</v>
      </c>
      <c r="G159" t="s">
        <v>19</v>
      </c>
      <c r="H159" s="1">
        <v>45683.170127314814</v>
      </c>
    </row>
    <row r="160" spans="1:8" x14ac:dyDescent="0.25">
      <c r="A160">
        <v>4472</v>
      </c>
      <c r="B160" t="s">
        <v>182</v>
      </c>
      <c r="C160" t="s">
        <v>13</v>
      </c>
      <c r="D160" t="s">
        <v>14</v>
      </c>
      <c r="E160">
        <v>1</v>
      </c>
      <c r="F160">
        <v>24.96</v>
      </c>
      <c r="G160" t="s">
        <v>11</v>
      </c>
      <c r="H160" s="1">
        <v>45713.652789351851</v>
      </c>
    </row>
    <row r="161" spans="1:8" x14ac:dyDescent="0.25">
      <c r="A161">
        <v>9779</v>
      </c>
      <c r="B161" t="s">
        <v>183</v>
      </c>
      <c r="C161" t="s">
        <v>37</v>
      </c>
      <c r="D161" t="s">
        <v>10</v>
      </c>
      <c r="E161">
        <v>5</v>
      </c>
      <c r="F161">
        <v>9.43</v>
      </c>
      <c r="G161" t="s">
        <v>19</v>
      </c>
      <c r="H161" s="1">
        <v>45679.366111111114</v>
      </c>
    </row>
    <row r="162" spans="1:8" x14ac:dyDescent="0.25">
      <c r="A162">
        <v>9053</v>
      </c>
      <c r="B162" t="s">
        <v>184</v>
      </c>
      <c r="C162" t="s">
        <v>37</v>
      </c>
      <c r="D162" t="s">
        <v>10</v>
      </c>
      <c r="E162">
        <v>4</v>
      </c>
      <c r="F162">
        <v>16.399999999999999</v>
      </c>
      <c r="G162" t="s">
        <v>11</v>
      </c>
      <c r="H162" s="1">
        <v>45805.135196759256</v>
      </c>
    </row>
    <row r="163" spans="1:8" x14ac:dyDescent="0.25">
      <c r="A163">
        <v>4855</v>
      </c>
      <c r="B163" t="s">
        <v>185</v>
      </c>
      <c r="C163" t="s">
        <v>28</v>
      </c>
      <c r="D163" t="s">
        <v>14</v>
      </c>
      <c r="E163">
        <v>2</v>
      </c>
      <c r="F163">
        <v>4.09</v>
      </c>
      <c r="G163" t="s">
        <v>17</v>
      </c>
      <c r="H163" s="1">
        <v>45662.860243055555</v>
      </c>
    </row>
    <row r="164" spans="1:8" x14ac:dyDescent="0.25">
      <c r="A164">
        <v>5550</v>
      </c>
      <c r="B164" t="s">
        <v>186</v>
      </c>
      <c r="C164" t="s">
        <v>37</v>
      </c>
      <c r="D164" t="s">
        <v>10</v>
      </c>
      <c r="E164">
        <v>3</v>
      </c>
      <c r="F164">
        <v>24.52</v>
      </c>
      <c r="G164" t="s">
        <v>15</v>
      </c>
      <c r="H164" s="1">
        <v>45866.893854166665</v>
      </c>
    </row>
    <row r="165" spans="1:8" x14ac:dyDescent="0.25">
      <c r="A165">
        <v>5788</v>
      </c>
      <c r="B165" t="s">
        <v>187</v>
      </c>
      <c r="C165" t="s">
        <v>13</v>
      </c>
      <c r="D165" t="s">
        <v>14</v>
      </c>
      <c r="E165">
        <v>3</v>
      </c>
      <c r="F165">
        <v>3.84</v>
      </c>
      <c r="G165" t="s">
        <v>11</v>
      </c>
      <c r="H165" s="1">
        <v>45841.397407407407</v>
      </c>
    </row>
    <row r="166" spans="1:8" x14ac:dyDescent="0.25">
      <c r="A166">
        <v>2233</v>
      </c>
      <c r="B166" t="s">
        <v>188</v>
      </c>
      <c r="C166" t="s">
        <v>28</v>
      </c>
      <c r="D166" t="s">
        <v>14</v>
      </c>
      <c r="E166">
        <v>3</v>
      </c>
      <c r="F166">
        <v>17.260000000000002</v>
      </c>
      <c r="G166" t="s">
        <v>11</v>
      </c>
      <c r="H166" s="1">
        <v>45703.637002314812</v>
      </c>
    </row>
    <row r="167" spans="1:8" x14ac:dyDescent="0.25">
      <c r="A167">
        <v>9267</v>
      </c>
      <c r="B167" t="s">
        <v>189</v>
      </c>
      <c r="C167" t="s">
        <v>13</v>
      </c>
      <c r="D167" t="s">
        <v>14</v>
      </c>
      <c r="E167">
        <v>5</v>
      </c>
      <c r="F167">
        <v>20.81</v>
      </c>
      <c r="G167" t="s">
        <v>11</v>
      </c>
      <c r="H167" s="1">
        <v>45669.275150462963</v>
      </c>
    </row>
    <row r="168" spans="1:8" x14ac:dyDescent="0.25">
      <c r="A168">
        <v>4233</v>
      </c>
      <c r="B168" t="s">
        <v>190</v>
      </c>
      <c r="C168" t="s">
        <v>37</v>
      </c>
      <c r="D168" t="s">
        <v>10</v>
      </c>
      <c r="E168">
        <v>3</v>
      </c>
      <c r="F168">
        <v>7.71</v>
      </c>
      <c r="G168" t="s">
        <v>15</v>
      </c>
      <c r="H168" s="1">
        <v>45699.868136574078</v>
      </c>
    </row>
    <row r="169" spans="1:8" x14ac:dyDescent="0.25">
      <c r="A169">
        <v>4540</v>
      </c>
      <c r="B169" t="s">
        <v>191</v>
      </c>
      <c r="C169" t="s">
        <v>30</v>
      </c>
      <c r="D169" t="s">
        <v>10</v>
      </c>
      <c r="E169">
        <v>4</v>
      </c>
      <c r="F169">
        <v>21.64</v>
      </c>
      <c r="G169" t="s">
        <v>15</v>
      </c>
      <c r="H169" s="1">
        <v>45737.726921296293</v>
      </c>
    </row>
    <row r="170" spans="1:8" x14ac:dyDescent="0.25">
      <c r="A170">
        <v>9839</v>
      </c>
      <c r="B170" t="s">
        <v>192</v>
      </c>
      <c r="C170" t="s">
        <v>40</v>
      </c>
      <c r="D170" t="s">
        <v>22</v>
      </c>
      <c r="E170">
        <v>4</v>
      </c>
      <c r="F170">
        <v>6.1</v>
      </c>
      <c r="G170" t="s">
        <v>15</v>
      </c>
      <c r="H170" s="1">
        <v>45719.107905092591</v>
      </c>
    </row>
    <row r="171" spans="1:8" x14ac:dyDescent="0.25">
      <c r="A171">
        <v>5544</v>
      </c>
      <c r="B171" t="s">
        <v>193</v>
      </c>
      <c r="C171" t="s">
        <v>35</v>
      </c>
      <c r="D171" t="s">
        <v>22</v>
      </c>
      <c r="E171">
        <v>2</v>
      </c>
      <c r="F171">
        <v>10.24</v>
      </c>
      <c r="G171" t="s">
        <v>17</v>
      </c>
      <c r="H171" s="1">
        <v>45765.478321759256</v>
      </c>
    </row>
    <row r="172" spans="1:8" x14ac:dyDescent="0.25">
      <c r="A172">
        <v>9823</v>
      </c>
      <c r="B172" t="s">
        <v>194</v>
      </c>
      <c r="C172" t="s">
        <v>40</v>
      </c>
      <c r="D172" t="s">
        <v>22</v>
      </c>
      <c r="E172">
        <v>2</v>
      </c>
      <c r="F172">
        <v>5.34</v>
      </c>
      <c r="G172" t="s">
        <v>11</v>
      </c>
      <c r="H172" s="1">
        <v>45861.868009259262</v>
      </c>
    </row>
    <row r="173" spans="1:8" x14ac:dyDescent="0.25">
      <c r="A173">
        <v>9154</v>
      </c>
      <c r="B173" t="s">
        <v>195</v>
      </c>
      <c r="C173" t="s">
        <v>40</v>
      </c>
      <c r="D173" t="s">
        <v>22</v>
      </c>
      <c r="E173">
        <v>3</v>
      </c>
      <c r="F173">
        <v>22.49</v>
      </c>
      <c r="G173" t="s">
        <v>17</v>
      </c>
      <c r="H173" s="1">
        <v>45826.866377314815</v>
      </c>
    </row>
    <row r="174" spans="1:8" x14ac:dyDescent="0.25">
      <c r="A174">
        <v>9089</v>
      </c>
      <c r="B174" t="s">
        <v>196</v>
      </c>
      <c r="C174" t="s">
        <v>37</v>
      </c>
      <c r="D174" t="s">
        <v>10</v>
      </c>
      <c r="E174">
        <v>5</v>
      </c>
      <c r="F174">
        <v>16.93</v>
      </c>
      <c r="G174" t="s">
        <v>19</v>
      </c>
      <c r="H174" s="1">
        <v>45753.609710648147</v>
      </c>
    </row>
    <row r="175" spans="1:8" x14ac:dyDescent="0.25">
      <c r="A175">
        <v>3162</v>
      </c>
      <c r="B175" t="s">
        <v>197</v>
      </c>
      <c r="C175" t="s">
        <v>40</v>
      </c>
      <c r="D175" t="s">
        <v>22</v>
      </c>
      <c r="E175">
        <v>5</v>
      </c>
      <c r="F175">
        <v>21.15</v>
      </c>
      <c r="G175" t="s">
        <v>17</v>
      </c>
      <c r="H175" s="1">
        <v>45703.747175925928</v>
      </c>
    </row>
    <row r="176" spans="1:8" x14ac:dyDescent="0.25">
      <c r="A176">
        <v>7117</v>
      </c>
      <c r="B176" t="s">
        <v>198</v>
      </c>
      <c r="C176" t="s">
        <v>28</v>
      </c>
      <c r="D176" t="s">
        <v>14</v>
      </c>
      <c r="E176">
        <v>1</v>
      </c>
      <c r="F176">
        <v>3.02</v>
      </c>
      <c r="G176" t="s">
        <v>17</v>
      </c>
      <c r="H176" s="1">
        <v>45745.119513888887</v>
      </c>
    </row>
    <row r="177" spans="1:8" x14ac:dyDescent="0.25">
      <c r="A177">
        <v>6981</v>
      </c>
      <c r="B177" t="s">
        <v>199</v>
      </c>
      <c r="C177" t="s">
        <v>21</v>
      </c>
      <c r="D177" t="s">
        <v>22</v>
      </c>
      <c r="E177">
        <v>3</v>
      </c>
      <c r="F177">
        <v>8.73</v>
      </c>
      <c r="G177" t="s">
        <v>15</v>
      </c>
      <c r="H177" s="1">
        <v>45860.724374999998</v>
      </c>
    </row>
    <row r="178" spans="1:8" x14ac:dyDescent="0.25">
      <c r="A178">
        <v>3769</v>
      </c>
      <c r="B178" t="s">
        <v>200</v>
      </c>
      <c r="C178" t="s">
        <v>13</v>
      </c>
      <c r="D178" t="s">
        <v>14</v>
      </c>
      <c r="E178">
        <v>1</v>
      </c>
      <c r="F178">
        <v>20.54</v>
      </c>
      <c r="G178" t="s">
        <v>15</v>
      </c>
      <c r="H178" s="1">
        <v>45773.696226851855</v>
      </c>
    </row>
    <row r="179" spans="1:8" x14ac:dyDescent="0.25">
      <c r="A179">
        <v>2229</v>
      </c>
      <c r="B179" t="s">
        <v>201</v>
      </c>
      <c r="C179" t="s">
        <v>30</v>
      </c>
      <c r="D179" t="s">
        <v>10</v>
      </c>
      <c r="E179">
        <v>1</v>
      </c>
      <c r="F179">
        <v>17.97</v>
      </c>
      <c r="G179" t="s">
        <v>11</v>
      </c>
      <c r="H179" s="1">
        <v>45823.62940972222</v>
      </c>
    </row>
    <row r="180" spans="1:8" x14ac:dyDescent="0.25">
      <c r="A180">
        <v>5577</v>
      </c>
      <c r="B180" t="s">
        <v>202</v>
      </c>
      <c r="C180" t="s">
        <v>9</v>
      </c>
      <c r="D180" t="s">
        <v>10</v>
      </c>
      <c r="E180">
        <v>2</v>
      </c>
      <c r="F180">
        <v>23.6</v>
      </c>
      <c r="G180" t="s">
        <v>11</v>
      </c>
      <c r="H180" s="1">
        <v>45696.508946759262</v>
      </c>
    </row>
    <row r="181" spans="1:8" x14ac:dyDescent="0.25">
      <c r="A181">
        <v>3343</v>
      </c>
      <c r="B181" t="s">
        <v>203</v>
      </c>
      <c r="C181" t="s">
        <v>37</v>
      </c>
      <c r="D181" t="s">
        <v>10</v>
      </c>
      <c r="E181">
        <v>2</v>
      </c>
      <c r="F181">
        <v>3.76</v>
      </c>
      <c r="G181" t="s">
        <v>11</v>
      </c>
      <c r="H181" s="1">
        <v>45843.978483796294</v>
      </c>
    </row>
    <row r="182" spans="1:8" x14ac:dyDescent="0.25">
      <c r="A182">
        <v>9564</v>
      </c>
      <c r="B182" t="s">
        <v>204</v>
      </c>
      <c r="C182" t="s">
        <v>37</v>
      </c>
      <c r="D182" t="s">
        <v>10</v>
      </c>
      <c r="E182">
        <v>5</v>
      </c>
      <c r="F182">
        <v>10.14</v>
      </c>
      <c r="G182" t="s">
        <v>11</v>
      </c>
      <c r="H182" s="1">
        <v>45807.952939814815</v>
      </c>
    </row>
    <row r="183" spans="1:8" x14ac:dyDescent="0.25">
      <c r="A183">
        <v>8109</v>
      </c>
      <c r="B183" t="s">
        <v>205</v>
      </c>
      <c r="C183" t="s">
        <v>40</v>
      </c>
      <c r="D183" t="s">
        <v>22</v>
      </c>
      <c r="E183">
        <v>2</v>
      </c>
      <c r="F183">
        <v>15.56</v>
      </c>
      <c r="G183" t="s">
        <v>15</v>
      </c>
      <c r="H183" s="1">
        <v>45840.771458333336</v>
      </c>
    </row>
    <row r="184" spans="1:8" x14ac:dyDescent="0.25">
      <c r="A184">
        <v>8625</v>
      </c>
      <c r="B184" t="s">
        <v>206</v>
      </c>
      <c r="C184" t="s">
        <v>28</v>
      </c>
      <c r="D184" t="s">
        <v>14</v>
      </c>
      <c r="E184">
        <v>5</v>
      </c>
      <c r="F184">
        <v>22.96</v>
      </c>
      <c r="G184" t="s">
        <v>15</v>
      </c>
      <c r="H184" s="1">
        <v>45845.196168981478</v>
      </c>
    </row>
    <row r="185" spans="1:8" x14ac:dyDescent="0.25">
      <c r="A185">
        <v>2682</v>
      </c>
      <c r="B185" t="s">
        <v>207</v>
      </c>
      <c r="C185" t="s">
        <v>37</v>
      </c>
      <c r="D185" t="s">
        <v>10</v>
      </c>
      <c r="E185">
        <v>2</v>
      </c>
      <c r="F185">
        <v>2.64</v>
      </c>
      <c r="G185" t="s">
        <v>19</v>
      </c>
      <c r="H185" s="1">
        <v>45693.741238425922</v>
      </c>
    </row>
    <row r="186" spans="1:8" x14ac:dyDescent="0.25">
      <c r="A186">
        <v>4212</v>
      </c>
      <c r="B186" t="s">
        <v>208</v>
      </c>
      <c r="C186" t="s">
        <v>35</v>
      </c>
      <c r="D186" t="s">
        <v>22</v>
      </c>
      <c r="E186">
        <v>5</v>
      </c>
      <c r="F186">
        <v>15.29</v>
      </c>
      <c r="G186" t="s">
        <v>15</v>
      </c>
      <c r="H186" s="1">
        <v>45659.659548611111</v>
      </c>
    </row>
    <row r="187" spans="1:8" x14ac:dyDescent="0.25">
      <c r="A187">
        <v>7901</v>
      </c>
      <c r="B187" t="s">
        <v>209</v>
      </c>
      <c r="C187" t="s">
        <v>21</v>
      </c>
      <c r="D187" t="s">
        <v>22</v>
      </c>
      <c r="E187">
        <v>4</v>
      </c>
      <c r="F187">
        <v>3.07</v>
      </c>
      <c r="G187" t="s">
        <v>15</v>
      </c>
      <c r="H187" s="1">
        <v>45667.91065972222</v>
      </c>
    </row>
    <row r="188" spans="1:8" x14ac:dyDescent="0.25">
      <c r="A188">
        <v>7092</v>
      </c>
      <c r="B188" t="s">
        <v>210</v>
      </c>
      <c r="C188" t="s">
        <v>40</v>
      </c>
      <c r="D188" t="s">
        <v>22</v>
      </c>
      <c r="E188">
        <v>3</v>
      </c>
      <c r="F188">
        <v>3.13</v>
      </c>
      <c r="G188" t="s">
        <v>17</v>
      </c>
      <c r="H188" s="1">
        <v>45762.456921296296</v>
      </c>
    </row>
    <row r="189" spans="1:8" x14ac:dyDescent="0.25">
      <c r="A189">
        <v>5481</v>
      </c>
      <c r="B189" t="s">
        <v>211</v>
      </c>
      <c r="C189" t="s">
        <v>9</v>
      </c>
      <c r="D189" t="s">
        <v>10</v>
      </c>
      <c r="E189">
        <v>3</v>
      </c>
      <c r="F189">
        <v>18.739999999999998</v>
      </c>
      <c r="G189" t="s">
        <v>19</v>
      </c>
      <c r="H189" s="1">
        <v>45693.97152777778</v>
      </c>
    </row>
    <row r="190" spans="1:8" x14ac:dyDescent="0.25">
      <c r="A190">
        <v>9566</v>
      </c>
      <c r="B190" t="s">
        <v>212</v>
      </c>
      <c r="C190" t="s">
        <v>9</v>
      </c>
      <c r="D190" t="s">
        <v>10</v>
      </c>
      <c r="E190">
        <v>1</v>
      </c>
      <c r="F190">
        <v>23.91</v>
      </c>
      <c r="G190" t="s">
        <v>15</v>
      </c>
      <c r="H190" s="1">
        <v>45727.718553240738</v>
      </c>
    </row>
    <row r="191" spans="1:8" x14ac:dyDescent="0.25">
      <c r="A191">
        <v>2910</v>
      </c>
      <c r="B191" t="s">
        <v>213</v>
      </c>
      <c r="C191" t="s">
        <v>21</v>
      </c>
      <c r="D191" t="s">
        <v>22</v>
      </c>
      <c r="E191">
        <v>2</v>
      </c>
      <c r="F191">
        <v>17.97</v>
      </c>
      <c r="G191" t="s">
        <v>19</v>
      </c>
      <c r="H191" s="1">
        <v>45690.495243055557</v>
      </c>
    </row>
    <row r="192" spans="1:8" x14ac:dyDescent="0.25">
      <c r="A192">
        <v>7489</v>
      </c>
      <c r="B192" t="s">
        <v>214</v>
      </c>
      <c r="C192" t="s">
        <v>40</v>
      </c>
      <c r="D192" t="s">
        <v>22</v>
      </c>
      <c r="E192">
        <v>4</v>
      </c>
      <c r="F192">
        <v>22.14</v>
      </c>
      <c r="G192" t="s">
        <v>17</v>
      </c>
      <c r="H192" s="1">
        <v>45776.535532407404</v>
      </c>
    </row>
    <row r="193" spans="1:8" x14ac:dyDescent="0.25">
      <c r="A193">
        <v>2842</v>
      </c>
      <c r="B193" t="s">
        <v>215</v>
      </c>
      <c r="C193" t="s">
        <v>37</v>
      </c>
      <c r="D193" t="s">
        <v>10</v>
      </c>
      <c r="E193">
        <v>4</v>
      </c>
      <c r="F193">
        <v>18.079999999999998</v>
      </c>
      <c r="G193" t="s">
        <v>17</v>
      </c>
      <c r="H193" s="1">
        <v>45835.749722222223</v>
      </c>
    </row>
    <row r="194" spans="1:8" x14ac:dyDescent="0.25">
      <c r="A194">
        <v>3744</v>
      </c>
      <c r="B194" t="s">
        <v>216</v>
      </c>
      <c r="C194" t="s">
        <v>37</v>
      </c>
      <c r="D194" t="s">
        <v>10</v>
      </c>
      <c r="E194">
        <v>3</v>
      </c>
      <c r="F194">
        <v>7.77</v>
      </c>
      <c r="G194" t="s">
        <v>15</v>
      </c>
      <c r="H194" s="1">
        <v>45744.014351851853</v>
      </c>
    </row>
    <row r="195" spans="1:8" x14ac:dyDescent="0.25">
      <c r="A195">
        <v>6753</v>
      </c>
      <c r="B195" t="s">
        <v>217</v>
      </c>
      <c r="C195" t="s">
        <v>35</v>
      </c>
      <c r="D195" t="s">
        <v>22</v>
      </c>
      <c r="E195">
        <v>2</v>
      </c>
      <c r="F195">
        <v>15.2</v>
      </c>
      <c r="G195" t="s">
        <v>15</v>
      </c>
      <c r="H195" s="1">
        <v>45811.228402777779</v>
      </c>
    </row>
    <row r="196" spans="1:8" x14ac:dyDescent="0.25">
      <c r="A196">
        <v>1868</v>
      </c>
      <c r="B196" t="s">
        <v>218</v>
      </c>
      <c r="C196" t="s">
        <v>37</v>
      </c>
      <c r="D196" t="s">
        <v>10</v>
      </c>
      <c r="E196">
        <v>4</v>
      </c>
      <c r="F196">
        <v>11.07</v>
      </c>
      <c r="G196" t="s">
        <v>17</v>
      </c>
      <c r="H196" s="1">
        <v>45700.268587962964</v>
      </c>
    </row>
    <row r="197" spans="1:8" x14ac:dyDescent="0.25">
      <c r="A197">
        <v>9088</v>
      </c>
      <c r="B197" t="s">
        <v>219</v>
      </c>
      <c r="C197" t="s">
        <v>21</v>
      </c>
      <c r="D197" t="s">
        <v>22</v>
      </c>
      <c r="E197">
        <v>3</v>
      </c>
      <c r="F197">
        <v>3.33</v>
      </c>
      <c r="G197" t="s">
        <v>19</v>
      </c>
      <c r="H197" s="1">
        <v>45792.484375</v>
      </c>
    </row>
    <row r="198" spans="1:8" x14ac:dyDescent="0.25">
      <c r="A198">
        <v>3605</v>
      </c>
      <c r="B198" t="s">
        <v>220</v>
      </c>
      <c r="C198" t="s">
        <v>13</v>
      </c>
      <c r="D198" t="s">
        <v>14</v>
      </c>
      <c r="E198">
        <v>1</v>
      </c>
      <c r="F198">
        <v>4.58</v>
      </c>
      <c r="G198" t="s">
        <v>19</v>
      </c>
      <c r="H198" s="1">
        <v>45763.590046296296</v>
      </c>
    </row>
    <row r="199" spans="1:8" x14ac:dyDescent="0.25">
      <c r="A199">
        <v>9562</v>
      </c>
      <c r="B199" t="s">
        <v>221</v>
      </c>
      <c r="C199" t="s">
        <v>28</v>
      </c>
      <c r="D199" t="s">
        <v>14</v>
      </c>
      <c r="E199">
        <v>1</v>
      </c>
      <c r="F199">
        <v>4.1900000000000004</v>
      </c>
      <c r="G199" t="s">
        <v>19</v>
      </c>
      <c r="H199" s="1">
        <v>45784.131793981483</v>
      </c>
    </row>
    <row r="200" spans="1:8" x14ac:dyDescent="0.25">
      <c r="A200">
        <v>6218</v>
      </c>
      <c r="B200" t="s">
        <v>222</v>
      </c>
      <c r="C200" t="s">
        <v>35</v>
      </c>
      <c r="D200" t="s">
        <v>22</v>
      </c>
      <c r="E200">
        <v>4</v>
      </c>
      <c r="F200">
        <v>17.260000000000002</v>
      </c>
      <c r="G200" t="s">
        <v>17</v>
      </c>
      <c r="H200" s="1">
        <v>45796.542094907411</v>
      </c>
    </row>
    <row r="201" spans="1:8" x14ac:dyDescent="0.25">
      <c r="A201">
        <v>7705</v>
      </c>
      <c r="B201" t="s">
        <v>223</v>
      </c>
      <c r="C201" t="s">
        <v>30</v>
      </c>
      <c r="D201" t="s">
        <v>10</v>
      </c>
      <c r="E201">
        <v>5</v>
      </c>
      <c r="F201">
        <v>12.3</v>
      </c>
      <c r="G201" t="s">
        <v>19</v>
      </c>
      <c r="H201" s="1">
        <v>45699.138368055559</v>
      </c>
    </row>
    <row r="202" spans="1:8" x14ac:dyDescent="0.25">
      <c r="A202">
        <v>6266</v>
      </c>
      <c r="B202" t="s">
        <v>224</v>
      </c>
      <c r="C202" t="s">
        <v>13</v>
      </c>
      <c r="D202" t="s">
        <v>14</v>
      </c>
      <c r="E202">
        <v>2</v>
      </c>
      <c r="F202">
        <v>18.78</v>
      </c>
      <c r="G202" t="s">
        <v>17</v>
      </c>
      <c r="H202" s="1">
        <v>45866.107488425929</v>
      </c>
    </row>
    <row r="203" spans="1:8" x14ac:dyDescent="0.25">
      <c r="A203">
        <v>5326</v>
      </c>
      <c r="B203" t="s">
        <v>225</v>
      </c>
      <c r="C203" t="s">
        <v>30</v>
      </c>
      <c r="D203" t="s">
        <v>10</v>
      </c>
      <c r="E203">
        <v>3</v>
      </c>
      <c r="F203">
        <v>2.42</v>
      </c>
      <c r="G203" t="s">
        <v>17</v>
      </c>
      <c r="H203" s="1">
        <v>45827.470057870371</v>
      </c>
    </row>
    <row r="204" spans="1:8" x14ac:dyDescent="0.25">
      <c r="A204">
        <v>4033</v>
      </c>
      <c r="B204" t="s">
        <v>226</v>
      </c>
      <c r="C204" t="s">
        <v>13</v>
      </c>
      <c r="D204" t="s">
        <v>14</v>
      </c>
      <c r="E204">
        <v>5</v>
      </c>
      <c r="F204">
        <v>9.64</v>
      </c>
      <c r="G204" t="s">
        <v>19</v>
      </c>
      <c r="H204" s="1">
        <v>45836.313078703701</v>
      </c>
    </row>
    <row r="205" spans="1:8" x14ac:dyDescent="0.25">
      <c r="A205">
        <v>5951</v>
      </c>
      <c r="B205" t="s">
        <v>227</v>
      </c>
      <c r="C205" t="s">
        <v>30</v>
      </c>
      <c r="D205" t="s">
        <v>10</v>
      </c>
      <c r="E205">
        <v>2</v>
      </c>
      <c r="F205">
        <v>9.76</v>
      </c>
      <c r="G205" t="s">
        <v>17</v>
      </c>
      <c r="H205" s="1">
        <v>45881.708935185183</v>
      </c>
    </row>
    <row r="206" spans="1:8" x14ac:dyDescent="0.25">
      <c r="A206">
        <v>8851</v>
      </c>
      <c r="B206" t="s">
        <v>228</v>
      </c>
      <c r="C206" t="s">
        <v>28</v>
      </c>
      <c r="D206" t="s">
        <v>14</v>
      </c>
      <c r="E206">
        <v>3</v>
      </c>
      <c r="F206">
        <v>8.0299999999999994</v>
      </c>
      <c r="G206" t="s">
        <v>11</v>
      </c>
      <c r="H206" s="1">
        <v>45848.911840277775</v>
      </c>
    </row>
    <row r="207" spans="1:8" x14ac:dyDescent="0.25">
      <c r="A207">
        <v>9659</v>
      </c>
      <c r="B207" t="s">
        <v>229</v>
      </c>
      <c r="C207" t="s">
        <v>21</v>
      </c>
      <c r="D207" t="s">
        <v>22</v>
      </c>
      <c r="E207">
        <v>1</v>
      </c>
      <c r="F207">
        <v>19.13</v>
      </c>
      <c r="G207" t="s">
        <v>19</v>
      </c>
      <c r="H207" s="1">
        <v>45736.615682870368</v>
      </c>
    </row>
    <row r="208" spans="1:8" x14ac:dyDescent="0.25">
      <c r="A208">
        <v>5460</v>
      </c>
      <c r="B208" t="s">
        <v>230</v>
      </c>
      <c r="C208" t="s">
        <v>37</v>
      </c>
      <c r="D208" t="s">
        <v>10</v>
      </c>
      <c r="E208">
        <v>5</v>
      </c>
      <c r="F208">
        <v>9.58</v>
      </c>
      <c r="G208" t="s">
        <v>17</v>
      </c>
      <c r="H208" s="1">
        <v>45780.776689814818</v>
      </c>
    </row>
    <row r="209" spans="1:8" x14ac:dyDescent="0.25">
      <c r="A209">
        <v>2891</v>
      </c>
      <c r="B209" t="s">
        <v>231</v>
      </c>
      <c r="C209" t="s">
        <v>35</v>
      </c>
      <c r="D209" t="s">
        <v>22</v>
      </c>
      <c r="E209">
        <v>1</v>
      </c>
      <c r="F209">
        <v>19.41</v>
      </c>
      <c r="G209" t="s">
        <v>15</v>
      </c>
      <c r="H209" s="1">
        <v>45856.535196759258</v>
      </c>
    </row>
    <row r="210" spans="1:8" x14ac:dyDescent="0.25">
      <c r="A210">
        <v>5359</v>
      </c>
      <c r="B210" t="s">
        <v>232</v>
      </c>
      <c r="C210" t="s">
        <v>33</v>
      </c>
      <c r="D210" t="s">
        <v>14</v>
      </c>
      <c r="E210">
        <v>5</v>
      </c>
      <c r="F210">
        <v>19.48</v>
      </c>
      <c r="G210" t="s">
        <v>11</v>
      </c>
      <c r="H210" s="1">
        <v>45662.335486111115</v>
      </c>
    </row>
    <row r="211" spans="1:8" x14ac:dyDescent="0.25">
      <c r="A211">
        <v>1510</v>
      </c>
      <c r="B211" t="s">
        <v>233</v>
      </c>
      <c r="C211" t="s">
        <v>35</v>
      </c>
      <c r="D211" t="s">
        <v>22</v>
      </c>
      <c r="E211">
        <v>5</v>
      </c>
      <c r="F211">
        <v>7.5</v>
      </c>
      <c r="G211" t="s">
        <v>15</v>
      </c>
      <c r="H211" s="1">
        <v>45757.321435185186</v>
      </c>
    </row>
    <row r="212" spans="1:8" x14ac:dyDescent="0.25">
      <c r="A212">
        <v>4902</v>
      </c>
      <c r="B212" t="s">
        <v>234</v>
      </c>
      <c r="C212" t="s">
        <v>37</v>
      </c>
      <c r="D212" t="s">
        <v>10</v>
      </c>
      <c r="E212">
        <v>5</v>
      </c>
      <c r="F212">
        <v>5.38</v>
      </c>
      <c r="G212" t="s">
        <v>15</v>
      </c>
      <c r="H212" s="1">
        <v>45777.389907407407</v>
      </c>
    </row>
    <row r="213" spans="1:8" x14ac:dyDescent="0.25">
      <c r="A213">
        <v>7960</v>
      </c>
      <c r="B213" t="s">
        <v>235</v>
      </c>
      <c r="C213" t="s">
        <v>28</v>
      </c>
      <c r="D213" t="s">
        <v>14</v>
      </c>
      <c r="E213">
        <v>3</v>
      </c>
      <c r="F213">
        <v>5.09</v>
      </c>
      <c r="G213" t="s">
        <v>11</v>
      </c>
      <c r="H213" s="1">
        <v>45661.283391203702</v>
      </c>
    </row>
    <row r="214" spans="1:8" x14ac:dyDescent="0.25">
      <c r="A214">
        <v>3327</v>
      </c>
      <c r="B214" t="s">
        <v>236</v>
      </c>
      <c r="C214" t="s">
        <v>35</v>
      </c>
      <c r="D214" t="s">
        <v>22</v>
      </c>
      <c r="E214">
        <v>1</v>
      </c>
      <c r="F214">
        <v>19.11</v>
      </c>
      <c r="G214" t="s">
        <v>17</v>
      </c>
      <c r="H214" s="1">
        <v>45829.198495370372</v>
      </c>
    </row>
    <row r="215" spans="1:8" x14ac:dyDescent="0.25">
      <c r="A215">
        <v>1329</v>
      </c>
      <c r="B215" t="s">
        <v>237</v>
      </c>
      <c r="C215" t="s">
        <v>30</v>
      </c>
      <c r="D215" t="s">
        <v>10</v>
      </c>
      <c r="E215">
        <v>1</v>
      </c>
      <c r="F215">
        <v>20.63</v>
      </c>
      <c r="G215" t="s">
        <v>11</v>
      </c>
      <c r="H215" s="1">
        <v>45658.066863425927</v>
      </c>
    </row>
    <row r="216" spans="1:8" x14ac:dyDescent="0.25">
      <c r="A216">
        <v>4062</v>
      </c>
      <c r="B216" t="s">
        <v>238</v>
      </c>
      <c r="C216" t="s">
        <v>33</v>
      </c>
      <c r="D216" t="s">
        <v>14</v>
      </c>
      <c r="E216">
        <v>4</v>
      </c>
      <c r="F216">
        <v>21.39</v>
      </c>
      <c r="G216" t="s">
        <v>19</v>
      </c>
      <c r="H216" s="1">
        <v>45808.968113425923</v>
      </c>
    </row>
    <row r="217" spans="1:8" x14ac:dyDescent="0.25">
      <c r="A217">
        <v>2598</v>
      </c>
      <c r="B217" t="s">
        <v>239</v>
      </c>
      <c r="C217" t="s">
        <v>28</v>
      </c>
      <c r="D217" t="s">
        <v>14</v>
      </c>
      <c r="E217">
        <v>3</v>
      </c>
      <c r="F217">
        <v>2.2599999999999998</v>
      </c>
      <c r="G217" t="s">
        <v>11</v>
      </c>
      <c r="H217" s="1">
        <v>45796.383935185186</v>
      </c>
    </row>
    <row r="218" spans="1:8" x14ac:dyDescent="0.25">
      <c r="A218">
        <v>2342</v>
      </c>
      <c r="B218" t="s">
        <v>240</v>
      </c>
      <c r="C218" t="s">
        <v>9</v>
      </c>
      <c r="D218" t="s">
        <v>10</v>
      </c>
      <c r="E218">
        <v>4</v>
      </c>
      <c r="F218">
        <v>18.54</v>
      </c>
      <c r="G218" t="s">
        <v>15</v>
      </c>
      <c r="H218" s="1">
        <v>45723.58321759259</v>
      </c>
    </row>
    <row r="219" spans="1:8" x14ac:dyDescent="0.25">
      <c r="A219">
        <v>2785</v>
      </c>
      <c r="B219" t="s">
        <v>241</v>
      </c>
      <c r="C219" t="s">
        <v>9</v>
      </c>
      <c r="D219" t="s">
        <v>10</v>
      </c>
      <c r="E219">
        <v>4</v>
      </c>
      <c r="F219">
        <v>23.84</v>
      </c>
      <c r="G219" t="s">
        <v>19</v>
      </c>
      <c r="H219" s="1">
        <v>45796.517256944448</v>
      </c>
    </row>
    <row r="220" spans="1:8" x14ac:dyDescent="0.25">
      <c r="A220">
        <v>1312</v>
      </c>
      <c r="B220" t="s">
        <v>242</v>
      </c>
      <c r="C220" t="s">
        <v>30</v>
      </c>
      <c r="D220" t="s">
        <v>10</v>
      </c>
      <c r="E220">
        <v>3</v>
      </c>
      <c r="F220">
        <v>16.3</v>
      </c>
      <c r="G220" t="s">
        <v>19</v>
      </c>
      <c r="H220" s="1">
        <v>45717.996446759258</v>
      </c>
    </row>
    <row r="221" spans="1:8" x14ac:dyDescent="0.25">
      <c r="A221">
        <v>1792</v>
      </c>
      <c r="B221" t="s">
        <v>243</v>
      </c>
      <c r="C221" t="s">
        <v>33</v>
      </c>
      <c r="D221" t="s">
        <v>14</v>
      </c>
      <c r="E221">
        <v>4</v>
      </c>
      <c r="F221">
        <v>7.15</v>
      </c>
      <c r="G221" t="s">
        <v>15</v>
      </c>
      <c r="H221" s="1">
        <v>45790.292962962965</v>
      </c>
    </row>
    <row r="222" spans="1:8" x14ac:dyDescent="0.25">
      <c r="A222">
        <v>5948</v>
      </c>
      <c r="B222" t="s">
        <v>244</v>
      </c>
      <c r="C222" t="s">
        <v>28</v>
      </c>
      <c r="D222" t="s">
        <v>14</v>
      </c>
      <c r="E222">
        <v>1</v>
      </c>
      <c r="F222">
        <v>11.95</v>
      </c>
      <c r="G222" t="s">
        <v>15</v>
      </c>
      <c r="H222" s="1">
        <v>45852.347743055558</v>
      </c>
    </row>
    <row r="223" spans="1:8" x14ac:dyDescent="0.25">
      <c r="A223">
        <v>6759</v>
      </c>
      <c r="B223" t="s">
        <v>245</v>
      </c>
      <c r="C223" t="s">
        <v>37</v>
      </c>
      <c r="D223" t="s">
        <v>10</v>
      </c>
      <c r="E223">
        <v>3</v>
      </c>
      <c r="F223">
        <v>20.29</v>
      </c>
      <c r="G223" t="s">
        <v>11</v>
      </c>
      <c r="H223" s="1">
        <v>45722.729756944442</v>
      </c>
    </row>
    <row r="224" spans="1:8" x14ac:dyDescent="0.25">
      <c r="A224">
        <v>1947</v>
      </c>
      <c r="B224" t="s">
        <v>246</v>
      </c>
      <c r="C224" t="s">
        <v>37</v>
      </c>
      <c r="D224" t="s">
        <v>10</v>
      </c>
      <c r="E224">
        <v>1</v>
      </c>
      <c r="F224">
        <v>12.15</v>
      </c>
      <c r="G224" t="s">
        <v>19</v>
      </c>
      <c r="H224" s="1">
        <v>45776.438900462963</v>
      </c>
    </row>
    <row r="225" spans="1:8" x14ac:dyDescent="0.25">
      <c r="A225">
        <v>3800</v>
      </c>
      <c r="B225" t="s">
        <v>247</v>
      </c>
      <c r="C225" t="s">
        <v>33</v>
      </c>
      <c r="D225" t="s">
        <v>14</v>
      </c>
      <c r="E225">
        <v>1</v>
      </c>
      <c r="F225">
        <v>13.78</v>
      </c>
      <c r="G225" t="s">
        <v>15</v>
      </c>
      <c r="H225" s="1">
        <v>45718.762002314812</v>
      </c>
    </row>
    <row r="226" spans="1:8" x14ac:dyDescent="0.25">
      <c r="A226">
        <v>7768</v>
      </c>
      <c r="B226" t="s">
        <v>248</v>
      </c>
      <c r="C226" t="s">
        <v>30</v>
      </c>
      <c r="D226" t="s">
        <v>10</v>
      </c>
      <c r="E226">
        <v>2</v>
      </c>
      <c r="F226">
        <v>9.17</v>
      </c>
      <c r="G226" t="s">
        <v>19</v>
      </c>
      <c r="H226" s="1">
        <v>45795.510601851849</v>
      </c>
    </row>
    <row r="227" spans="1:8" x14ac:dyDescent="0.25">
      <c r="A227">
        <v>6706</v>
      </c>
      <c r="B227" t="s">
        <v>249</v>
      </c>
      <c r="C227" t="s">
        <v>13</v>
      </c>
      <c r="D227" t="s">
        <v>14</v>
      </c>
      <c r="E227">
        <v>5</v>
      </c>
      <c r="F227">
        <v>9.32</v>
      </c>
      <c r="G227" t="s">
        <v>15</v>
      </c>
      <c r="H227" s="1">
        <v>45753.780717592592</v>
      </c>
    </row>
    <row r="228" spans="1:8" x14ac:dyDescent="0.25">
      <c r="A228">
        <v>2754</v>
      </c>
      <c r="B228" t="s">
        <v>250</v>
      </c>
      <c r="C228" t="s">
        <v>28</v>
      </c>
      <c r="D228" t="s">
        <v>14</v>
      </c>
      <c r="E228">
        <v>3</v>
      </c>
      <c r="F228">
        <v>6.01</v>
      </c>
      <c r="G228" t="s">
        <v>11</v>
      </c>
      <c r="H228" s="1">
        <v>45866.841967592591</v>
      </c>
    </row>
    <row r="229" spans="1:8" x14ac:dyDescent="0.25">
      <c r="A229">
        <v>8676</v>
      </c>
      <c r="B229" t="s">
        <v>251</v>
      </c>
      <c r="C229" t="s">
        <v>30</v>
      </c>
      <c r="D229" t="s">
        <v>10</v>
      </c>
      <c r="E229">
        <v>3</v>
      </c>
      <c r="F229">
        <v>11.5</v>
      </c>
      <c r="G229" t="s">
        <v>15</v>
      </c>
      <c r="H229" s="1">
        <v>45700.588113425925</v>
      </c>
    </row>
    <row r="230" spans="1:8" x14ac:dyDescent="0.25">
      <c r="A230">
        <v>2354</v>
      </c>
      <c r="B230" t="s">
        <v>252</v>
      </c>
      <c r="C230" t="s">
        <v>35</v>
      </c>
      <c r="D230" t="s">
        <v>22</v>
      </c>
      <c r="E230">
        <v>2</v>
      </c>
      <c r="F230">
        <v>22.82</v>
      </c>
      <c r="G230" t="s">
        <v>11</v>
      </c>
      <c r="H230" s="1">
        <v>45868.671354166669</v>
      </c>
    </row>
    <row r="231" spans="1:8" x14ac:dyDescent="0.25">
      <c r="A231">
        <v>2660</v>
      </c>
      <c r="B231" t="s">
        <v>253</v>
      </c>
      <c r="C231" t="s">
        <v>30</v>
      </c>
      <c r="D231" t="s">
        <v>10</v>
      </c>
      <c r="E231">
        <v>3</v>
      </c>
      <c r="F231">
        <v>14.93</v>
      </c>
      <c r="G231" t="s">
        <v>17</v>
      </c>
      <c r="H231" s="1">
        <v>45750.812569444446</v>
      </c>
    </row>
    <row r="232" spans="1:8" x14ac:dyDescent="0.25">
      <c r="A232">
        <v>3502</v>
      </c>
      <c r="B232" t="s">
        <v>254</v>
      </c>
      <c r="C232" t="s">
        <v>33</v>
      </c>
      <c r="D232" t="s">
        <v>14</v>
      </c>
      <c r="E232">
        <v>3</v>
      </c>
      <c r="F232">
        <v>23.47</v>
      </c>
      <c r="G232" t="s">
        <v>17</v>
      </c>
      <c r="H232" s="1">
        <v>45846.344444444447</v>
      </c>
    </row>
    <row r="233" spans="1:8" x14ac:dyDescent="0.25">
      <c r="A233">
        <v>9429</v>
      </c>
      <c r="B233" t="s">
        <v>255</v>
      </c>
      <c r="C233" t="s">
        <v>37</v>
      </c>
      <c r="D233" t="s">
        <v>10</v>
      </c>
      <c r="E233">
        <v>4</v>
      </c>
      <c r="F233">
        <v>14.73</v>
      </c>
      <c r="G233" t="s">
        <v>19</v>
      </c>
      <c r="H233" s="1">
        <v>45673.968935185185</v>
      </c>
    </row>
    <row r="234" spans="1:8" x14ac:dyDescent="0.25">
      <c r="A234">
        <v>8675</v>
      </c>
      <c r="B234" t="s">
        <v>256</v>
      </c>
      <c r="C234" t="s">
        <v>9</v>
      </c>
      <c r="D234" t="s">
        <v>10</v>
      </c>
      <c r="E234">
        <v>3</v>
      </c>
      <c r="F234">
        <v>6.38</v>
      </c>
      <c r="G234" t="s">
        <v>17</v>
      </c>
      <c r="H234" s="1">
        <v>45831.012569444443</v>
      </c>
    </row>
    <row r="235" spans="1:8" x14ac:dyDescent="0.25">
      <c r="A235">
        <v>8544</v>
      </c>
      <c r="B235" t="s">
        <v>257</v>
      </c>
      <c r="C235" t="s">
        <v>33</v>
      </c>
      <c r="D235" t="s">
        <v>14</v>
      </c>
      <c r="E235">
        <v>2</v>
      </c>
      <c r="F235">
        <v>6.19</v>
      </c>
      <c r="G235" t="s">
        <v>19</v>
      </c>
      <c r="H235" s="1">
        <v>45769.584814814814</v>
      </c>
    </row>
    <row r="236" spans="1:8" x14ac:dyDescent="0.25">
      <c r="A236">
        <v>7586</v>
      </c>
      <c r="B236" t="s">
        <v>258</v>
      </c>
      <c r="C236" t="s">
        <v>9</v>
      </c>
      <c r="D236" t="s">
        <v>10</v>
      </c>
      <c r="E236">
        <v>4</v>
      </c>
      <c r="F236">
        <v>7.76</v>
      </c>
      <c r="G236" t="s">
        <v>19</v>
      </c>
      <c r="H236" s="1">
        <v>45675.532893518517</v>
      </c>
    </row>
    <row r="237" spans="1:8" x14ac:dyDescent="0.25">
      <c r="A237">
        <v>4837</v>
      </c>
      <c r="B237" t="s">
        <v>259</v>
      </c>
      <c r="C237" t="s">
        <v>40</v>
      </c>
      <c r="D237" t="s">
        <v>22</v>
      </c>
      <c r="E237">
        <v>4</v>
      </c>
      <c r="F237">
        <v>17.71</v>
      </c>
      <c r="G237" t="s">
        <v>15</v>
      </c>
      <c r="H237" s="1">
        <v>45781.565324074072</v>
      </c>
    </row>
    <row r="238" spans="1:8" x14ac:dyDescent="0.25">
      <c r="A238">
        <v>9922</v>
      </c>
      <c r="B238" t="s">
        <v>260</v>
      </c>
      <c r="C238" t="s">
        <v>9</v>
      </c>
      <c r="D238" t="s">
        <v>10</v>
      </c>
      <c r="E238">
        <v>5</v>
      </c>
      <c r="F238">
        <v>16.28</v>
      </c>
      <c r="G238" t="s">
        <v>17</v>
      </c>
      <c r="H238" s="1">
        <v>45879.427511574075</v>
      </c>
    </row>
    <row r="239" spans="1:8" x14ac:dyDescent="0.25">
      <c r="A239">
        <v>1239</v>
      </c>
      <c r="B239" t="s">
        <v>261</v>
      </c>
      <c r="C239" t="s">
        <v>35</v>
      </c>
      <c r="D239" t="s">
        <v>22</v>
      </c>
      <c r="E239">
        <v>3</v>
      </c>
      <c r="F239">
        <v>17.61</v>
      </c>
      <c r="G239" t="s">
        <v>11</v>
      </c>
      <c r="H239" s="1">
        <v>45739.035821759258</v>
      </c>
    </row>
    <row r="240" spans="1:8" x14ac:dyDescent="0.25">
      <c r="A240">
        <v>5344</v>
      </c>
      <c r="B240" t="s">
        <v>262</v>
      </c>
      <c r="C240" t="s">
        <v>40</v>
      </c>
      <c r="D240" t="s">
        <v>22</v>
      </c>
      <c r="E240">
        <v>1</v>
      </c>
      <c r="F240">
        <v>12.71</v>
      </c>
      <c r="G240" t="s">
        <v>19</v>
      </c>
      <c r="H240" s="1">
        <v>45797.978356481479</v>
      </c>
    </row>
    <row r="241" spans="1:8" x14ac:dyDescent="0.25">
      <c r="A241">
        <v>2780</v>
      </c>
      <c r="B241" t="s">
        <v>263</v>
      </c>
      <c r="C241" t="s">
        <v>35</v>
      </c>
      <c r="D241" t="s">
        <v>22</v>
      </c>
      <c r="E241">
        <v>3</v>
      </c>
      <c r="F241">
        <v>8.6</v>
      </c>
      <c r="G241" t="s">
        <v>17</v>
      </c>
      <c r="H241" s="1">
        <v>45852.577268518522</v>
      </c>
    </row>
    <row r="242" spans="1:8" x14ac:dyDescent="0.25">
      <c r="A242">
        <v>4352</v>
      </c>
      <c r="B242" t="s">
        <v>264</v>
      </c>
      <c r="C242" t="s">
        <v>21</v>
      </c>
      <c r="D242" t="s">
        <v>22</v>
      </c>
      <c r="E242">
        <v>5</v>
      </c>
      <c r="F242">
        <v>2.5099999999999998</v>
      </c>
      <c r="G242" t="s">
        <v>17</v>
      </c>
      <c r="H242" s="1">
        <v>45756.184803240743</v>
      </c>
    </row>
    <row r="243" spans="1:8" x14ac:dyDescent="0.25">
      <c r="A243">
        <v>5707</v>
      </c>
      <c r="B243" t="s">
        <v>265</v>
      </c>
      <c r="C243" t="s">
        <v>13</v>
      </c>
      <c r="D243" t="s">
        <v>14</v>
      </c>
      <c r="E243">
        <v>5</v>
      </c>
      <c r="F243">
        <v>12.33</v>
      </c>
      <c r="G243" t="s">
        <v>15</v>
      </c>
      <c r="H243" s="1">
        <v>45717.788877314815</v>
      </c>
    </row>
    <row r="244" spans="1:8" x14ac:dyDescent="0.25">
      <c r="A244">
        <v>6776</v>
      </c>
      <c r="B244" t="s">
        <v>266</v>
      </c>
      <c r="C244" t="s">
        <v>21</v>
      </c>
      <c r="D244" t="s">
        <v>22</v>
      </c>
      <c r="E244">
        <v>5</v>
      </c>
      <c r="F244">
        <v>22.33</v>
      </c>
      <c r="G244" t="s">
        <v>19</v>
      </c>
      <c r="H244" s="1">
        <v>45701.739270833335</v>
      </c>
    </row>
    <row r="245" spans="1:8" x14ac:dyDescent="0.25">
      <c r="A245">
        <v>9412</v>
      </c>
      <c r="B245" t="s">
        <v>267</v>
      </c>
      <c r="C245" t="s">
        <v>28</v>
      </c>
      <c r="D245" t="s">
        <v>14</v>
      </c>
      <c r="E245">
        <v>2</v>
      </c>
      <c r="F245">
        <v>18.29</v>
      </c>
      <c r="G245" t="s">
        <v>17</v>
      </c>
      <c r="H245" s="1">
        <v>45669.376134259262</v>
      </c>
    </row>
    <row r="246" spans="1:8" x14ac:dyDescent="0.25">
      <c r="A246">
        <v>4681</v>
      </c>
      <c r="B246" t="s">
        <v>268</v>
      </c>
      <c r="C246" t="s">
        <v>35</v>
      </c>
      <c r="D246" t="s">
        <v>22</v>
      </c>
      <c r="E246">
        <v>3</v>
      </c>
      <c r="F246">
        <v>8.73</v>
      </c>
      <c r="G246" t="s">
        <v>17</v>
      </c>
      <c r="H246" s="1">
        <v>45697.991805555554</v>
      </c>
    </row>
    <row r="247" spans="1:8" x14ac:dyDescent="0.25">
      <c r="A247">
        <v>4115</v>
      </c>
      <c r="B247" t="s">
        <v>269</v>
      </c>
      <c r="C247" t="s">
        <v>35</v>
      </c>
      <c r="D247" t="s">
        <v>22</v>
      </c>
      <c r="E247">
        <v>1</v>
      </c>
      <c r="F247">
        <v>8.92</v>
      </c>
      <c r="G247" t="s">
        <v>11</v>
      </c>
      <c r="H247" s="1">
        <v>45742.331666666665</v>
      </c>
    </row>
    <row r="248" spans="1:8" x14ac:dyDescent="0.25">
      <c r="A248">
        <v>8137</v>
      </c>
      <c r="B248" t="s">
        <v>270</v>
      </c>
      <c r="C248" t="s">
        <v>30</v>
      </c>
      <c r="D248" t="s">
        <v>10</v>
      </c>
      <c r="E248">
        <v>5</v>
      </c>
      <c r="F248">
        <v>22.71</v>
      </c>
      <c r="G248" t="s">
        <v>19</v>
      </c>
      <c r="H248" s="1">
        <v>45824.332986111112</v>
      </c>
    </row>
    <row r="249" spans="1:8" x14ac:dyDescent="0.25">
      <c r="A249">
        <v>7965</v>
      </c>
      <c r="B249" t="s">
        <v>271</v>
      </c>
      <c r="C249" t="s">
        <v>28</v>
      </c>
      <c r="D249" t="s">
        <v>14</v>
      </c>
      <c r="E249">
        <v>5</v>
      </c>
      <c r="F249">
        <v>6.64</v>
      </c>
      <c r="G249" t="s">
        <v>19</v>
      </c>
      <c r="H249" s="1">
        <v>45769.041493055556</v>
      </c>
    </row>
    <row r="250" spans="1:8" x14ac:dyDescent="0.25">
      <c r="A250">
        <v>4803</v>
      </c>
      <c r="B250" t="s">
        <v>272</v>
      </c>
      <c r="C250" t="s">
        <v>33</v>
      </c>
      <c r="D250" t="s">
        <v>14</v>
      </c>
      <c r="E250">
        <v>5</v>
      </c>
      <c r="F250">
        <v>7.76</v>
      </c>
      <c r="G250" t="s">
        <v>19</v>
      </c>
      <c r="H250" s="1">
        <v>45764.522002314814</v>
      </c>
    </row>
    <row r="251" spans="1:8" x14ac:dyDescent="0.25">
      <c r="A251">
        <v>9593</v>
      </c>
      <c r="B251" t="s">
        <v>273</v>
      </c>
      <c r="C251" t="s">
        <v>35</v>
      </c>
      <c r="D251" t="s">
        <v>22</v>
      </c>
      <c r="E251">
        <v>5</v>
      </c>
      <c r="F251">
        <v>12.02</v>
      </c>
      <c r="G251" t="s">
        <v>15</v>
      </c>
      <c r="H251" s="1">
        <v>45666.579618055555</v>
      </c>
    </row>
    <row r="252" spans="1:8" x14ac:dyDescent="0.25">
      <c r="A252">
        <v>6247</v>
      </c>
      <c r="B252" t="s">
        <v>274</v>
      </c>
      <c r="C252" t="s">
        <v>37</v>
      </c>
      <c r="D252" t="s">
        <v>10</v>
      </c>
      <c r="E252">
        <v>5</v>
      </c>
      <c r="F252">
        <v>8.5399999999999991</v>
      </c>
      <c r="G252" t="s">
        <v>15</v>
      </c>
      <c r="H252" s="1">
        <v>45668.232395833336</v>
      </c>
    </row>
    <row r="253" spans="1:8" x14ac:dyDescent="0.25">
      <c r="A253">
        <v>6030</v>
      </c>
      <c r="B253" t="s">
        <v>275</v>
      </c>
      <c r="C253" t="s">
        <v>40</v>
      </c>
      <c r="D253" t="s">
        <v>22</v>
      </c>
      <c r="E253">
        <v>1</v>
      </c>
      <c r="F253">
        <v>20.329999999999998</v>
      </c>
      <c r="G253" t="s">
        <v>11</v>
      </c>
      <c r="H253" s="1">
        <v>45742.393900462965</v>
      </c>
    </row>
    <row r="254" spans="1:8" x14ac:dyDescent="0.25">
      <c r="A254">
        <v>3546</v>
      </c>
      <c r="B254" t="s">
        <v>276</v>
      </c>
      <c r="C254" t="s">
        <v>33</v>
      </c>
      <c r="D254" t="s">
        <v>14</v>
      </c>
      <c r="E254">
        <v>5</v>
      </c>
      <c r="F254">
        <v>3.44</v>
      </c>
      <c r="G254" t="s">
        <v>17</v>
      </c>
      <c r="H254" s="1">
        <v>45882.989155092589</v>
      </c>
    </row>
    <row r="255" spans="1:8" x14ac:dyDescent="0.25">
      <c r="A255">
        <v>1425</v>
      </c>
      <c r="B255" t="s">
        <v>277</v>
      </c>
      <c r="C255" t="s">
        <v>33</v>
      </c>
      <c r="D255" t="s">
        <v>14</v>
      </c>
      <c r="E255">
        <v>3</v>
      </c>
      <c r="F255">
        <v>24.52</v>
      </c>
      <c r="G255" t="s">
        <v>15</v>
      </c>
      <c r="H255" s="1">
        <v>45848.806400462963</v>
      </c>
    </row>
    <row r="256" spans="1:8" x14ac:dyDescent="0.25">
      <c r="A256">
        <v>1909</v>
      </c>
      <c r="B256" t="s">
        <v>278</v>
      </c>
      <c r="C256" t="s">
        <v>21</v>
      </c>
      <c r="D256" t="s">
        <v>22</v>
      </c>
      <c r="E256">
        <v>4</v>
      </c>
      <c r="F256">
        <v>16.89</v>
      </c>
      <c r="G256" t="s">
        <v>17</v>
      </c>
      <c r="H256" s="1">
        <v>45709.964363425926</v>
      </c>
    </row>
    <row r="257" spans="1:8" x14ac:dyDescent="0.25">
      <c r="A257">
        <v>4165</v>
      </c>
      <c r="B257" t="s">
        <v>279</v>
      </c>
      <c r="C257" t="s">
        <v>30</v>
      </c>
      <c r="D257" t="s">
        <v>10</v>
      </c>
      <c r="E257">
        <v>5</v>
      </c>
      <c r="F257">
        <v>19.010000000000002</v>
      </c>
      <c r="G257" t="s">
        <v>11</v>
      </c>
      <c r="H257" s="1">
        <v>45683.043553240743</v>
      </c>
    </row>
    <row r="258" spans="1:8" x14ac:dyDescent="0.25">
      <c r="A258">
        <v>7976</v>
      </c>
      <c r="B258" t="s">
        <v>280</v>
      </c>
      <c r="C258" t="s">
        <v>37</v>
      </c>
      <c r="D258" t="s">
        <v>10</v>
      </c>
      <c r="E258">
        <v>4</v>
      </c>
      <c r="F258">
        <v>4.07</v>
      </c>
      <c r="G258" t="s">
        <v>19</v>
      </c>
      <c r="H258" s="1">
        <v>45860.739618055559</v>
      </c>
    </row>
    <row r="259" spans="1:8" x14ac:dyDescent="0.25">
      <c r="A259">
        <v>5095</v>
      </c>
      <c r="B259" t="s">
        <v>281</v>
      </c>
      <c r="C259" t="s">
        <v>28</v>
      </c>
      <c r="D259" t="s">
        <v>14</v>
      </c>
      <c r="E259">
        <v>3</v>
      </c>
      <c r="F259">
        <v>18.920000000000002</v>
      </c>
      <c r="G259" t="s">
        <v>17</v>
      </c>
      <c r="H259" s="1">
        <v>45744.729155092595</v>
      </c>
    </row>
    <row r="260" spans="1:8" x14ac:dyDescent="0.25">
      <c r="A260">
        <v>7910</v>
      </c>
      <c r="B260" t="s">
        <v>282</v>
      </c>
      <c r="C260" t="s">
        <v>40</v>
      </c>
      <c r="D260" t="s">
        <v>22</v>
      </c>
      <c r="E260">
        <v>1</v>
      </c>
      <c r="F260">
        <v>15.78</v>
      </c>
      <c r="G260" t="s">
        <v>19</v>
      </c>
      <c r="H260" s="1">
        <v>45675.788344907407</v>
      </c>
    </row>
    <row r="261" spans="1:8" x14ac:dyDescent="0.25">
      <c r="A261">
        <v>4183</v>
      </c>
      <c r="B261" t="s">
        <v>283</v>
      </c>
      <c r="C261" t="s">
        <v>37</v>
      </c>
      <c r="D261" t="s">
        <v>10</v>
      </c>
      <c r="E261">
        <v>2</v>
      </c>
      <c r="F261">
        <v>7.16</v>
      </c>
      <c r="G261" t="s">
        <v>17</v>
      </c>
      <c r="H261" s="1">
        <v>45803.978773148148</v>
      </c>
    </row>
    <row r="262" spans="1:8" x14ac:dyDescent="0.25">
      <c r="A262">
        <v>7301</v>
      </c>
      <c r="B262" t="s">
        <v>284</v>
      </c>
      <c r="C262" t="s">
        <v>35</v>
      </c>
      <c r="D262" t="s">
        <v>22</v>
      </c>
      <c r="E262">
        <v>4</v>
      </c>
      <c r="F262">
        <v>2.81</v>
      </c>
      <c r="G262" t="s">
        <v>17</v>
      </c>
      <c r="H262" s="1">
        <v>45681.452384259261</v>
      </c>
    </row>
    <row r="263" spans="1:8" x14ac:dyDescent="0.25">
      <c r="A263">
        <v>3565</v>
      </c>
      <c r="B263" t="s">
        <v>285</v>
      </c>
      <c r="C263" t="s">
        <v>13</v>
      </c>
      <c r="D263" t="s">
        <v>14</v>
      </c>
      <c r="E263">
        <v>3</v>
      </c>
      <c r="F263">
        <v>12.74</v>
      </c>
      <c r="G263" t="s">
        <v>11</v>
      </c>
      <c r="H263" s="1">
        <v>45691.02239583333</v>
      </c>
    </row>
    <row r="264" spans="1:8" x14ac:dyDescent="0.25">
      <c r="A264">
        <v>2365</v>
      </c>
      <c r="B264" t="s">
        <v>286</v>
      </c>
      <c r="C264" t="s">
        <v>28</v>
      </c>
      <c r="D264" t="s">
        <v>14</v>
      </c>
      <c r="E264">
        <v>4</v>
      </c>
      <c r="F264">
        <v>16.170000000000002</v>
      </c>
      <c r="G264" t="s">
        <v>17</v>
      </c>
      <c r="H264" s="1">
        <v>45718.25953703704</v>
      </c>
    </row>
    <row r="265" spans="1:8" x14ac:dyDescent="0.25">
      <c r="A265">
        <v>4559</v>
      </c>
      <c r="B265" t="s">
        <v>287</v>
      </c>
      <c r="C265" t="s">
        <v>35</v>
      </c>
      <c r="D265" t="s">
        <v>22</v>
      </c>
      <c r="E265">
        <v>3</v>
      </c>
      <c r="F265">
        <v>20.32</v>
      </c>
      <c r="G265" t="s">
        <v>11</v>
      </c>
      <c r="H265" s="1">
        <v>45851.510775462964</v>
      </c>
    </row>
    <row r="266" spans="1:8" x14ac:dyDescent="0.25">
      <c r="A266">
        <v>5831</v>
      </c>
      <c r="B266" t="s">
        <v>288</v>
      </c>
      <c r="C266" t="s">
        <v>40</v>
      </c>
      <c r="D266" t="s">
        <v>22</v>
      </c>
      <c r="E266">
        <v>1</v>
      </c>
      <c r="F266">
        <v>6.23</v>
      </c>
      <c r="G266" t="s">
        <v>17</v>
      </c>
      <c r="H266" s="1">
        <v>45801.368310185186</v>
      </c>
    </row>
    <row r="267" spans="1:8" x14ac:dyDescent="0.25">
      <c r="A267">
        <v>3293</v>
      </c>
      <c r="B267" t="s">
        <v>289</v>
      </c>
      <c r="C267" t="s">
        <v>30</v>
      </c>
      <c r="D267" t="s">
        <v>10</v>
      </c>
      <c r="E267">
        <v>5</v>
      </c>
      <c r="F267">
        <v>6.91</v>
      </c>
      <c r="G267" t="s">
        <v>17</v>
      </c>
      <c r="H267" s="1">
        <v>45737.085219907407</v>
      </c>
    </row>
    <row r="268" spans="1:8" x14ac:dyDescent="0.25">
      <c r="A268">
        <v>2458</v>
      </c>
      <c r="B268" t="s">
        <v>290</v>
      </c>
      <c r="C268" t="s">
        <v>30</v>
      </c>
      <c r="D268" t="s">
        <v>10</v>
      </c>
      <c r="E268">
        <v>2</v>
      </c>
      <c r="F268">
        <v>18.829999999999998</v>
      </c>
      <c r="G268" t="s">
        <v>19</v>
      </c>
      <c r="H268" s="1">
        <v>45685.90289351852</v>
      </c>
    </row>
    <row r="269" spans="1:8" x14ac:dyDescent="0.25">
      <c r="A269">
        <v>6672</v>
      </c>
      <c r="B269" t="s">
        <v>291</v>
      </c>
      <c r="C269" t="s">
        <v>13</v>
      </c>
      <c r="D269" t="s">
        <v>14</v>
      </c>
      <c r="E269">
        <v>1</v>
      </c>
      <c r="F269">
        <v>8.92</v>
      </c>
      <c r="G269" t="s">
        <v>15</v>
      </c>
      <c r="H269" s="1">
        <v>45693.062442129631</v>
      </c>
    </row>
    <row r="270" spans="1:8" x14ac:dyDescent="0.25">
      <c r="A270">
        <v>5547</v>
      </c>
      <c r="B270" t="s">
        <v>292</v>
      </c>
      <c r="C270" t="s">
        <v>40</v>
      </c>
      <c r="D270" t="s">
        <v>22</v>
      </c>
      <c r="E270">
        <v>1</v>
      </c>
      <c r="F270">
        <v>20.57</v>
      </c>
      <c r="G270" t="s">
        <v>15</v>
      </c>
      <c r="H270" s="1">
        <v>45714.794016203705</v>
      </c>
    </row>
    <row r="271" spans="1:8" x14ac:dyDescent="0.25">
      <c r="A271">
        <v>4050</v>
      </c>
      <c r="B271" t="s">
        <v>293</v>
      </c>
      <c r="C271" t="s">
        <v>35</v>
      </c>
      <c r="D271" t="s">
        <v>22</v>
      </c>
      <c r="E271">
        <v>5</v>
      </c>
      <c r="F271">
        <v>5.92</v>
      </c>
      <c r="G271" t="s">
        <v>19</v>
      </c>
      <c r="H271" s="1">
        <v>45688.420439814814</v>
      </c>
    </row>
    <row r="272" spans="1:8" x14ac:dyDescent="0.25">
      <c r="A272">
        <v>8255</v>
      </c>
      <c r="B272" t="s">
        <v>294</v>
      </c>
      <c r="C272" t="s">
        <v>9</v>
      </c>
      <c r="D272" t="s">
        <v>10</v>
      </c>
      <c r="E272">
        <v>5</v>
      </c>
      <c r="F272">
        <v>20.85</v>
      </c>
      <c r="G272" t="s">
        <v>17</v>
      </c>
      <c r="H272" s="1">
        <v>45786.209201388891</v>
      </c>
    </row>
    <row r="273" spans="1:8" x14ac:dyDescent="0.25">
      <c r="A273">
        <v>1878</v>
      </c>
      <c r="B273" t="s">
        <v>295</v>
      </c>
      <c r="C273" t="s">
        <v>37</v>
      </c>
      <c r="D273" t="s">
        <v>10</v>
      </c>
      <c r="E273">
        <v>2</v>
      </c>
      <c r="F273">
        <v>24.7</v>
      </c>
      <c r="G273" t="s">
        <v>15</v>
      </c>
      <c r="H273" s="1">
        <v>45777.887106481481</v>
      </c>
    </row>
    <row r="274" spans="1:8" x14ac:dyDescent="0.25">
      <c r="A274">
        <v>3188</v>
      </c>
      <c r="B274" t="s">
        <v>296</v>
      </c>
      <c r="C274" t="s">
        <v>21</v>
      </c>
      <c r="D274" t="s">
        <v>22</v>
      </c>
      <c r="E274">
        <v>4</v>
      </c>
      <c r="F274">
        <v>11.67</v>
      </c>
      <c r="G274" t="s">
        <v>15</v>
      </c>
      <c r="H274" s="1">
        <v>45771.609293981484</v>
      </c>
    </row>
    <row r="275" spans="1:8" x14ac:dyDescent="0.25">
      <c r="A275">
        <v>4274</v>
      </c>
      <c r="B275" t="s">
        <v>297</v>
      </c>
      <c r="C275" t="s">
        <v>30</v>
      </c>
      <c r="D275" t="s">
        <v>10</v>
      </c>
      <c r="E275">
        <v>4</v>
      </c>
      <c r="F275">
        <v>8.19</v>
      </c>
      <c r="G275" t="s">
        <v>19</v>
      </c>
      <c r="H275" s="1">
        <v>45824.168749999997</v>
      </c>
    </row>
    <row r="276" spans="1:8" x14ac:dyDescent="0.25">
      <c r="A276">
        <v>4484</v>
      </c>
      <c r="B276" t="s">
        <v>298</v>
      </c>
      <c r="C276" t="s">
        <v>37</v>
      </c>
      <c r="D276" t="s">
        <v>10</v>
      </c>
      <c r="E276">
        <v>5</v>
      </c>
      <c r="F276">
        <v>11.26</v>
      </c>
      <c r="G276" t="s">
        <v>11</v>
      </c>
      <c r="H276" s="1">
        <v>45807.48064814815</v>
      </c>
    </row>
    <row r="277" spans="1:8" x14ac:dyDescent="0.25">
      <c r="A277">
        <v>9578</v>
      </c>
      <c r="B277" t="s">
        <v>247</v>
      </c>
      <c r="C277" t="s">
        <v>40</v>
      </c>
      <c r="D277" t="s">
        <v>22</v>
      </c>
      <c r="E277">
        <v>2</v>
      </c>
      <c r="F277">
        <v>2.08</v>
      </c>
      <c r="G277" t="s">
        <v>15</v>
      </c>
      <c r="H277" s="1">
        <v>45882.48704861111</v>
      </c>
    </row>
    <row r="278" spans="1:8" x14ac:dyDescent="0.25">
      <c r="A278">
        <v>8184</v>
      </c>
      <c r="B278" t="s">
        <v>299</v>
      </c>
      <c r="C278" t="s">
        <v>13</v>
      </c>
      <c r="D278" t="s">
        <v>14</v>
      </c>
      <c r="E278">
        <v>2</v>
      </c>
      <c r="F278">
        <v>8.43</v>
      </c>
      <c r="G278" t="s">
        <v>15</v>
      </c>
      <c r="H278" s="1">
        <v>45664.233553240738</v>
      </c>
    </row>
    <row r="279" spans="1:8" x14ac:dyDescent="0.25">
      <c r="A279">
        <v>5559</v>
      </c>
      <c r="B279" t="s">
        <v>300</v>
      </c>
      <c r="C279" t="s">
        <v>28</v>
      </c>
      <c r="D279" t="s">
        <v>14</v>
      </c>
      <c r="E279">
        <v>1</v>
      </c>
      <c r="F279">
        <v>20.93</v>
      </c>
      <c r="G279" t="s">
        <v>15</v>
      </c>
      <c r="H279" s="1">
        <v>45760.091747685183</v>
      </c>
    </row>
    <row r="280" spans="1:8" x14ac:dyDescent="0.25">
      <c r="A280">
        <v>9674</v>
      </c>
      <c r="B280" t="s">
        <v>301</v>
      </c>
      <c r="C280" t="s">
        <v>37</v>
      </c>
      <c r="D280" t="s">
        <v>10</v>
      </c>
      <c r="E280">
        <v>4</v>
      </c>
      <c r="F280">
        <v>23.01</v>
      </c>
      <c r="G280" t="s">
        <v>17</v>
      </c>
      <c r="H280" s="1">
        <v>45862.2184375</v>
      </c>
    </row>
    <row r="281" spans="1:8" x14ac:dyDescent="0.25">
      <c r="A281">
        <v>6807</v>
      </c>
      <c r="B281" t="s">
        <v>302</v>
      </c>
      <c r="C281" t="s">
        <v>35</v>
      </c>
      <c r="D281" t="s">
        <v>22</v>
      </c>
      <c r="E281">
        <v>4</v>
      </c>
      <c r="F281">
        <v>3.6</v>
      </c>
      <c r="G281" t="s">
        <v>17</v>
      </c>
      <c r="H281" s="1">
        <v>45718.673171296294</v>
      </c>
    </row>
    <row r="282" spans="1:8" x14ac:dyDescent="0.25">
      <c r="A282">
        <v>6918</v>
      </c>
      <c r="B282" t="s">
        <v>303</v>
      </c>
      <c r="C282" t="s">
        <v>33</v>
      </c>
      <c r="D282" t="s">
        <v>14</v>
      </c>
      <c r="E282">
        <v>3</v>
      </c>
      <c r="F282">
        <v>11.34</v>
      </c>
      <c r="G282" t="s">
        <v>11</v>
      </c>
      <c r="H282" s="1">
        <v>45826.441932870373</v>
      </c>
    </row>
    <row r="283" spans="1:8" x14ac:dyDescent="0.25">
      <c r="A283">
        <v>6578</v>
      </c>
      <c r="B283" t="s">
        <v>304</v>
      </c>
      <c r="C283" t="s">
        <v>35</v>
      </c>
      <c r="D283" t="s">
        <v>22</v>
      </c>
      <c r="E283">
        <v>4</v>
      </c>
      <c r="F283">
        <v>16.739999999999998</v>
      </c>
      <c r="G283" t="s">
        <v>11</v>
      </c>
      <c r="H283" s="1">
        <v>45686.753750000003</v>
      </c>
    </row>
    <row r="284" spans="1:8" x14ac:dyDescent="0.25">
      <c r="A284">
        <v>8280</v>
      </c>
      <c r="B284" t="s">
        <v>305</v>
      </c>
      <c r="C284" t="s">
        <v>37</v>
      </c>
      <c r="D284" t="s">
        <v>10</v>
      </c>
      <c r="E284">
        <v>2</v>
      </c>
      <c r="F284">
        <v>22.99</v>
      </c>
      <c r="G284" t="s">
        <v>11</v>
      </c>
      <c r="H284" s="1">
        <v>45738.206400462965</v>
      </c>
    </row>
    <row r="285" spans="1:8" x14ac:dyDescent="0.25">
      <c r="A285">
        <v>6212</v>
      </c>
      <c r="B285" t="s">
        <v>306</v>
      </c>
      <c r="C285" t="s">
        <v>30</v>
      </c>
      <c r="D285" t="s">
        <v>10</v>
      </c>
      <c r="E285">
        <v>1</v>
      </c>
      <c r="F285">
        <v>18.239999999999998</v>
      </c>
      <c r="G285" t="s">
        <v>11</v>
      </c>
      <c r="H285" s="1">
        <v>45721.006736111114</v>
      </c>
    </row>
    <row r="286" spans="1:8" x14ac:dyDescent="0.25">
      <c r="A286">
        <v>4844</v>
      </c>
      <c r="B286" t="s">
        <v>307</v>
      </c>
      <c r="C286" t="s">
        <v>35</v>
      </c>
      <c r="D286" t="s">
        <v>22</v>
      </c>
      <c r="E286">
        <v>3</v>
      </c>
      <c r="F286">
        <v>15.93</v>
      </c>
      <c r="G286" t="s">
        <v>17</v>
      </c>
      <c r="H286" s="1">
        <v>45807.229085648149</v>
      </c>
    </row>
    <row r="287" spans="1:8" x14ac:dyDescent="0.25">
      <c r="A287">
        <v>9816</v>
      </c>
      <c r="B287" t="s">
        <v>308</v>
      </c>
      <c r="C287" t="s">
        <v>30</v>
      </c>
      <c r="D287" t="s">
        <v>10</v>
      </c>
      <c r="E287">
        <v>5</v>
      </c>
      <c r="F287">
        <v>5.63</v>
      </c>
      <c r="G287" t="s">
        <v>11</v>
      </c>
      <c r="H287" s="1">
        <v>45821.154039351852</v>
      </c>
    </row>
    <row r="288" spans="1:8" x14ac:dyDescent="0.25">
      <c r="A288">
        <v>3339</v>
      </c>
      <c r="B288" t="s">
        <v>309</v>
      </c>
      <c r="C288" t="s">
        <v>9</v>
      </c>
      <c r="D288" t="s">
        <v>10</v>
      </c>
      <c r="E288">
        <v>3</v>
      </c>
      <c r="F288">
        <v>20.010000000000002</v>
      </c>
      <c r="G288" t="s">
        <v>19</v>
      </c>
      <c r="H288" s="1">
        <v>45856.783043981479</v>
      </c>
    </row>
    <row r="289" spans="1:8" x14ac:dyDescent="0.25">
      <c r="A289">
        <v>9586</v>
      </c>
      <c r="B289" t="s">
        <v>310</v>
      </c>
      <c r="C289" t="s">
        <v>37</v>
      </c>
      <c r="D289" t="s">
        <v>10</v>
      </c>
      <c r="E289">
        <v>4</v>
      </c>
      <c r="F289">
        <v>22.44</v>
      </c>
      <c r="G289" t="s">
        <v>19</v>
      </c>
      <c r="H289" s="1">
        <v>45709.413437499999</v>
      </c>
    </row>
    <row r="290" spans="1:8" x14ac:dyDescent="0.25">
      <c r="A290">
        <v>1055</v>
      </c>
      <c r="B290" t="s">
        <v>311</v>
      </c>
      <c r="C290" t="s">
        <v>33</v>
      </c>
      <c r="D290" t="s">
        <v>14</v>
      </c>
      <c r="E290">
        <v>5</v>
      </c>
      <c r="F290">
        <v>3.97</v>
      </c>
      <c r="G290" t="s">
        <v>19</v>
      </c>
      <c r="H290" s="1">
        <v>45665.955659722225</v>
      </c>
    </row>
    <row r="291" spans="1:8" x14ac:dyDescent="0.25">
      <c r="A291">
        <v>3304</v>
      </c>
      <c r="B291" t="s">
        <v>312</v>
      </c>
      <c r="C291" t="s">
        <v>9</v>
      </c>
      <c r="D291" t="s">
        <v>10</v>
      </c>
      <c r="E291">
        <v>5</v>
      </c>
      <c r="F291">
        <v>24.02</v>
      </c>
      <c r="G291" t="s">
        <v>19</v>
      </c>
      <c r="H291" s="1">
        <v>45815.670856481483</v>
      </c>
    </row>
    <row r="292" spans="1:8" x14ac:dyDescent="0.25">
      <c r="A292">
        <v>4961</v>
      </c>
      <c r="B292" t="s">
        <v>313</v>
      </c>
      <c r="C292" t="s">
        <v>37</v>
      </c>
      <c r="D292" t="s">
        <v>10</v>
      </c>
      <c r="E292">
        <v>5</v>
      </c>
      <c r="F292">
        <v>17</v>
      </c>
      <c r="G292" t="s">
        <v>15</v>
      </c>
      <c r="H292" s="1">
        <v>45865.831458333334</v>
      </c>
    </row>
    <row r="293" spans="1:8" x14ac:dyDescent="0.25">
      <c r="A293">
        <v>3402</v>
      </c>
      <c r="B293" t="s">
        <v>314</v>
      </c>
      <c r="C293" t="s">
        <v>9</v>
      </c>
      <c r="D293" t="s">
        <v>10</v>
      </c>
      <c r="E293">
        <v>2</v>
      </c>
      <c r="F293">
        <v>21.07</v>
      </c>
      <c r="G293" t="s">
        <v>11</v>
      </c>
      <c r="H293" s="1">
        <v>45692.366446759261</v>
      </c>
    </row>
    <row r="294" spans="1:8" x14ac:dyDescent="0.25">
      <c r="A294">
        <v>2513</v>
      </c>
      <c r="B294" t="s">
        <v>315</v>
      </c>
      <c r="C294" t="s">
        <v>37</v>
      </c>
      <c r="D294" t="s">
        <v>10</v>
      </c>
      <c r="E294">
        <v>1</v>
      </c>
      <c r="F294">
        <v>3.89</v>
      </c>
      <c r="G294" t="s">
        <v>19</v>
      </c>
      <c r="H294" s="1">
        <v>45803.77144675926</v>
      </c>
    </row>
    <row r="295" spans="1:8" x14ac:dyDescent="0.25">
      <c r="A295">
        <v>5747</v>
      </c>
      <c r="B295" t="s">
        <v>316</v>
      </c>
      <c r="C295" t="s">
        <v>33</v>
      </c>
      <c r="D295" t="s">
        <v>14</v>
      </c>
      <c r="E295">
        <v>2</v>
      </c>
      <c r="F295">
        <v>8.57</v>
      </c>
      <c r="G295" t="s">
        <v>17</v>
      </c>
      <c r="H295" s="1">
        <v>45757.539849537039</v>
      </c>
    </row>
    <row r="296" spans="1:8" x14ac:dyDescent="0.25">
      <c r="A296">
        <v>9319</v>
      </c>
      <c r="B296" t="s">
        <v>317</v>
      </c>
      <c r="C296" t="s">
        <v>33</v>
      </c>
      <c r="D296" t="s">
        <v>14</v>
      </c>
      <c r="E296">
        <v>4</v>
      </c>
      <c r="F296">
        <v>14.17</v>
      </c>
      <c r="G296" t="s">
        <v>19</v>
      </c>
      <c r="H296" s="1">
        <v>45685.352673611109</v>
      </c>
    </row>
    <row r="297" spans="1:8" x14ac:dyDescent="0.25">
      <c r="A297">
        <v>6092</v>
      </c>
      <c r="B297" t="s">
        <v>318</v>
      </c>
      <c r="C297" t="s">
        <v>35</v>
      </c>
      <c r="D297" t="s">
        <v>22</v>
      </c>
      <c r="E297">
        <v>5</v>
      </c>
      <c r="F297">
        <v>21.43</v>
      </c>
      <c r="G297" t="s">
        <v>11</v>
      </c>
      <c r="H297" s="1">
        <v>45849.195937500001</v>
      </c>
    </row>
    <row r="298" spans="1:8" x14ac:dyDescent="0.25">
      <c r="A298">
        <v>6389</v>
      </c>
      <c r="B298" t="s">
        <v>319</v>
      </c>
      <c r="C298" t="s">
        <v>21</v>
      </c>
      <c r="D298" t="s">
        <v>22</v>
      </c>
      <c r="E298">
        <v>5</v>
      </c>
      <c r="F298">
        <v>14.74</v>
      </c>
      <c r="G298" t="s">
        <v>11</v>
      </c>
      <c r="H298" s="1">
        <v>45854.413414351853</v>
      </c>
    </row>
    <row r="299" spans="1:8" x14ac:dyDescent="0.25">
      <c r="A299">
        <v>7554</v>
      </c>
      <c r="B299" t="s">
        <v>320</v>
      </c>
      <c r="C299" t="s">
        <v>9</v>
      </c>
      <c r="D299" t="s">
        <v>10</v>
      </c>
      <c r="E299">
        <v>4</v>
      </c>
      <c r="F299">
        <v>2.69</v>
      </c>
      <c r="G299" t="s">
        <v>17</v>
      </c>
      <c r="H299" s="1">
        <v>45669.304768518516</v>
      </c>
    </row>
    <row r="300" spans="1:8" x14ac:dyDescent="0.25">
      <c r="A300">
        <v>6939</v>
      </c>
      <c r="B300" t="s">
        <v>321</v>
      </c>
      <c r="C300" t="s">
        <v>35</v>
      </c>
      <c r="D300" t="s">
        <v>22</v>
      </c>
      <c r="E300">
        <v>1</v>
      </c>
      <c r="F300">
        <v>6.67</v>
      </c>
      <c r="G300" t="s">
        <v>17</v>
      </c>
      <c r="H300" s="1">
        <v>45685.388796296298</v>
      </c>
    </row>
    <row r="301" spans="1:8" x14ac:dyDescent="0.25">
      <c r="A301">
        <v>1681</v>
      </c>
      <c r="B301" t="s">
        <v>322</v>
      </c>
      <c r="C301" t="s">
        <v>9</v>
      </c>
      <c r="D301" t="s">
        <v>10</v>
      </c>
      <c r="E301">
        <v>2</v>
      </c>
      <c r="F301">
        <v>14.85</v>
      </c>
      <c r="G301" t="s">
        <v>15</v>
      </c>
      <c r="H301" s="1">
        <v>45880.762523148151</v>
      </c>
    </row>
    <row r="302" spans="1:8" x14ac:dyDescent="0.25">
      <c r="A302">
        <v>5080</v>
      </c>
      <c r="B302" t="s">
        <v>323</v>
      </c>
      <c r="C302" t="s">
        <v>33</v>
      </c>
      <c r="D302" t="s">
        <v>14</v>
      </c>
      <c r="E302">
        <v>2</v>
      </c>
      <c r="F302">
        <v>3.79</v>
      </c>
      <c r="G302" t="s">
        <v>15</v>
      </c>
      <c r="H302" s="1">
        <v>45685.557916666665</v>
      </c>
    </row>
    <row r="303" spans="1:8" x14ac:dyDescent="0.25">
      <c r="A303">
        <v>2945</v>
      </c>
      <c r="B303" t="s">
        <v>324</v>
      </c>
      <c r="C303" t="s">
        <v>37</v>
      </c>
      <c r="D303" t="s">
        <v>10</v>
      </c>
      <c r="E303">
        <v>5</v>
      </c>
      <c r="F303">
        <v>13.3</v>
      </c>
      <c r="G303" t="s">
        <v>11</v>
      </c>
      <c r="H303" s="1">
        <v>45689.157037037039</v>
      </c>
    </row>
    <row r="304" spans="1:8" x14ac:dyDescent="0.25">
      <c r="A304">
        <v>3193</v>
      </c>
      <c r="B304" t="s">
        <v>325</v>
      </c>
      <c r="C304" t="s">
        <v>30</v>
      </c>
      <c r="D304" t="s">
        <v>10</v>
      </c>
      <c r="E304">
        <v>4</v>
      </c>
      <c r="F304">
        <v>14.15</v>
      </c>
      <c r="G304" t="s">
        <v>19</v>
      </c>
      <c r="H304" s="1">
        <v>45670.323206018518</v>
      </c>
    </row>
    <row r="305" spans="1:8" x14ac:dyDescent="0.25">
      <c r="A305">
        <v>1270</v>
      </c>
      <c r="B305" t="s">
        <v>326</v>
      </c>
      <c r="C305" t="s">
        <v>13</v>
      </c>
      <c r="D305" t="s">
        <v>14</v>
      </c>
      <c r="E305">
        <v>2</v>
      </c>
      <c r="F305">
        <v>4.0999999999999996</v>
      </c>
      <c r="G305" t="s">
        <v>11</v>
      </c>
      <c r="H305" s="1">
        <v>45825.873043981483</v>
      </c>
    </row>
    <row r="306" spans="1:8" x14ac:dyDescent="0.25">
      <c r="A306">
        <v>8290</v>
      </c>
      <c r="B306" t="s">
        <v>327</v>
      </c>
      <c r="C306" t="s">
        <v>21</v>
      </c>
      <c r="D306" t="s">
        <v>22</v>
      </c>
      <c r="E306">
        <v>2</v>
      </c>
      <c r="F306">
        <v>16.98</v>
      </c>
      <c r="G306" t="s">
        <v>17</v>
      </c>
      <c r="H306" s="1">
        <v>45736.595243055555</v>
      </c>
    </row>
    <row r="307" spans="1:8" x14ac:dyDescent="0.25">
      <c r="A307">
        <v>6279</v>
      </c>
      <c r="B307" t="s">
        <v>328</v>
      </c>
      <c r="C307" t="s">
        <v>13</v>
      </c>
      <c r="D307" t="s">
        <v>14</v>
      </c>
      <c r="E307">
        <v>1</v>
      </c>
      <c r="F307">
        <v>23.87</v>
      </c>
      <c r="G307" t="s">
        <v>17</v>
      </c>
      <c r="H307" s="1">
        <v>45724.710231481484</v>
      </c>
    </row>
    <row r="308" spans="1:8" x14ac:dyDescent="0.25">
      <c r="A308">
        <v>6329</v>
      </c>
      <c r="B308" t="s">
        <v>329</v>
      </c>
      <c r="C308" t="s">
        <v>30</v>
      </c>
      <c r="D308" t="s">
        <v>10</v>
      </c>
      <c r="E308">
        <v>3</v>
      </c>
      <c r="F308">
        <v>3.26</v>
      </c>
      <c r="G308" t="s">
        <v>19</v>
      </c>
      <c r="H308" s="1">
        <v>45675.911828703705</v>
      </c>
    </row>
    <row r="309" spans="1:8" x14ac:dyDescent="0.25">
      <c r="A309">
        <v>5845</v>
      </c>
      <c r="B309" t="s">
        <v>330</v>
      </c>
      <c r="C309" t="s">
        <v>21</v>
      </c>
      <c r="D309" t="s">
        <v>22</v>
      </c>
      <c r="E309">
        <v>5</v>
      </c>
      <c r="F309">
        <v>10.83</v>
      </c>
      <c r="G309" t="s">
        <v>17</v>
      </c>
      <c r="H309" s="1">
        <v>45759.002430555556</v>
      </c>
    </row>
    <row r="310" spans="1:8" x14ac:dyDescent="0.25">
      <c r="A310">
        <v>6490</v>
      </c>
      <c r="B310" t="s">
        <v>331</v>
      </c>
      <c r="C310" t="s">
        <v>37</v>
      </c>
      <c r="D310" t="s">
        <v>10</v>
      </c>
      <c r="E310">
        <v>5</v>
      </c>
      <c r="F310">
        <v>4.09</v>
      </c>
      <c r="G310" t="s">
        <v>19</v>
      </c>
      <c r="H310" s="1">
        <v>45709.124490740738</v>
      </c>
    </row>
    <row r="311" spans="1:8" x14ac:dyDescent="0.25">
      <c r="A311">
        <v>2227</v>
      </c>
      <c r="B311" t="s">
        <v>332</v>
      </c>
      <c r="C311" t="s">
        <v>13</v>
      </c>
      <c r="D311" t="s">
        <v>14</v>
      </c>
      <c r="E311">
        <v>1</v>
      </c>
      <c r="F311">
        <v>11.66</v>
      </c>
      <c r="G311" t="s">
        <v>19</v>
      </c>
      <c r="H311" s="1">
        <v>45717.937881944446</v>
      </c>
    </row>
    <row r="312" spans="1:8" x14ac:dyDescent="0.25">
      <c r="A312">
        <v>5913</v>
      </c>
      <c r="B312" t="s">
        <v>333</v>
      </c>
      <c r="C312" t="s">
        <v>21</v>
      </c>
      <c r="D312" t="s">
        <v>22</v>
      </c>
      <c r="E312">
        <v>2</v>
      </c>
      <c r="F312">
        <v>6.12</v>
      </c>
      <c r="G312" t="s">
        <v>17</v>
      </c>
      <c r="H312" s="1">
        <v>45852.526574074072</v>
      </c>
    </row>
    <row r="313" spans="1:8" x14ac:dyDescent="0.25">
      <c r="A313">
        <v>6263</v>
      </c>
      <c r="B313" t="s">
        <v>334</v>
      </c>
      <c r="C313" t="s">
        <v>40</v>
      </c>
      <c r="D313" t="s">
        <v>22</v>
      </c>
      <c r="E313">
        <v>5</v>
      </c>
      <c r="F313">
        <v>6.99</v>
      </c>
      <c r="G313" t="s">
        <v>11</v>
      </c>
      <c r="H313" s="1">
        <v>45730.274988425925</v>
      </c>
    </row>
    <row r="314" spans="1:8" x14ac:dyDescent="0.25">
      <c r="A314">
        <v>4937</v>
      </c>
      <c r="B314" t="s">
        <v>335</v>
      </c>
      <c r="C314" t="s">
        <v>28</v>
      </c>
      <c r="D314" t="s">
        <v>14</v>
      </c>
      <c r="E314">
        <v>5</v>
      </c>
      <c r="F314">
        <v>16.07</v>
      </c>
      <c r="G314" t="s">
        <v>17</v>
      </c>
      <c r="H314" s="1">
        <v>45703.027048611111</v>
      </c>
    </row>
    <row r="315" spans="1:8" x14ac:dyDescent="0.25">
      <c r="A315">
        <v>7016</v>
      </c>
      <c r="B315" t="s">
        <v>336</v>
      </c>
      <c r="C315" t="s">
        <v>35</v>
      </c>
      <c r="D315" t="s">
        <v>22</v>
      </c>
      <c r="E315">
        <v>5</v>
      </c>
      <c r="F315">
        <v>9</v>
      </c>
      <c r="G315" t="s">
        <v>17</v>
      </c>
      <c r="H315" s="1">
        <v>45686.42328703704</v>
      </c>
    </row>
    <row r="316" spans="1:8" x14ac:dyDescent="0.25">
      <c r="A316">
        <v>7426</v>
      </c>
      <c r="B316" t="s">
        <v>337</v>
      </c>
      <c r="C316" t="s">
        <v>21</v>
      </c>
      <c r="D316" t="s">
        <v>22</v>
      </c>
      <c r="E316">
        <v>3</v>
      </c>
      <c r="F316">
        <v>19.13</v>
      </c>
      <c r="G316" t="s">
        <v>15</v>
      </c>
      <c r="H316" s="1">
        <v>45738.599108796298</v>
      </c>
    </row>
    <row r="317" spans="1:8" x14ac:dyDescent="0.25">
      <c r="A317">
        <v>4296</v>
      </c>
      <c r="B317" t="s">
        <v>338</v>
      </c>
      <c r="C317" t="s">
        <v>40</v>
      </c>
      <c r="D317" t="s">
        <v>22</v>
      </c>
      <c r="E317">
        <v>1</v>
      </c>
      <c r="F317">
        <v>13.44</v>
      </c>
      <c r="G317" t="s">
        <v>19</v>
      </c>
      <c r="H317" s="1">
        <v>45665.539907407408</v>
      </c>
    </row>
    <row r="318" spans="1:8" x14ac:dyDescent="0.25">
      <c r="A318">
        <v>9305</v>
      </c>
      <c r="B318" t="s">
        <v>339</v>
      </c>
      <c r="C318" t="s">
        <v>28</v>
      </c>
      <c r="D318" t="s">
        <v>14</v>
      </c>
      <c r="E318">
        <v>1</v>
      </c>
      <c r="F318">
        <v>5.14</v>
      </c>
      <c r="G318" t="s">
        <v>17</v>
      </c>
      <c r="H318" s="1">
        <v>45865.147129629629</v>
      </c>
    </row>
    <row r="319" spans="1:8" x14ac:dyDescent="0.25">
      <c r="A319">
        <v>4389</v>
      </c>
      <c r="B319" t="s">
        <v>340</v>
      </c>
      <c r="C319" t="s">
        <v>35</v>
      </c>
      <c r="D319" t="s">
        <v>22</v>
      </c>
      <c r="E319">
        <v>3</v>
      </c>
      <c r="F319">
        <v>24.74</v>
      </c>
      <c r="G319" t="s">
        <v>15</v>
      </c>
      <c r="H319" s="1">
        <v>45726.665162037039</v>
      </c>
    </row>
    <row r="320" spans="1:8" x14ac:dyDescent="0.25">
      <c r="A320">
        <v>9369</v>
      </c>
      <c r="B320" t="s">
        <v>341</v>
      </c>
      <c r="C320" t="s">
        <v>30</v>
      </c>
      <c r="D320" t="s">
        <v>10</v>
      </c>
      <c r="E320">
        <v>5</v>
      </c>
      <c r="F320">
        <v>20.75</v>
      </c>
      <c r="G320" t="s">
        <v>17</v>
      </c>
      <c r="H320" s="1">
        <v>45823.961354166669</v>
      </c>
    </row>
    <row r="321" spans="1:8" x14ac:dyDescent="0.25">
      <c r="A321">
        <v>5293</v>
      </c>
      <c r="B321" t="s">
        <v>342</v>
      </c>
      <c r="C321" t="s">
        <v>37</v>
      </c>
      <c r="D321" t="s">
        <v>10</v>
      </c>
      <c r="E321">
        <v>3</v>
      </c>
      <c r="F321">
        <v>19.29</v>
      </c>
      <c r="G321" t="s">
        <v>17</v>
      </c>
      <c r="H321" s="1">
        <v>45706.360590277778</v>
      </c>
    </row>
    <row r="322" spans="1:8" x14ac:dyDescent="0.25">
      <c r="A322">
        <v>6341</v>
      </c>
      <c r="B322" t="s">
        <v>343</v>
      </c>
      <c r="C322" t="s">
        <v>9</v>
      </c>
      <c r="D322" t="s">
        <v>10</v>
      </c>
      <c r="E322">
        <v>4</v>
      </c>
      <c r="F322">
        <v>16.48</v>
      </c>
      <c r="G322" t="s">
        <v>11</v>
      </c>
      <c r="H322" s="1">
        <v>45677.854247685187</v>
      </c>
    </row>
    <row r="323" spans="1:8" x14ac:dyDescent="0.25">
      <c r="A323">
        <v>7046</v>
      </c>
      <c r="B323" t="s">
        <v>344</v>
      </c>
      <c r="C323" t="s">
        <v>9</v>
      </c>
      <c r="D323" t="s">
        <v>10</v>
      </c>
      <c r="E323">
        <v>2</v>
      </c>
      <c r="F323">
        <v>13.69</v>
      </c>
      <c r="G323" t="s">
        <v>11</v>
      </c>
      <c r="H323" s="1">
        <v>45760.761886574073</v>
      </c>
    </row>
    <row r="324" spans="1:8" x14ac:dyDescent="0.25">
      <c r="A324">
        <v>8482</v>
      </c>
      <c r="B324" t="s">
        <v>345</v>
      </c>
      <c r="C324" t="s">
        <v>28</v>
      </c>
      <c r="D324" t="s">
        <v>14</v>
      </c>
      <c r="E324">
        <v>1</v>
      </c>
      <c r="F324">
        <v>17.95</v>
      </c>
      <c r="G324" t="s">
        <v>17</v>
      </c>
      <c r="H324" s="1">
        <v>45730.17664351852</v>
      </c>
    </row>
    <row r="325" spans="1:8" x14ac:dyDescent="0.25">
      <c r="A325">
        <v>1815</v>
      </c>
      <c r="B325" t="s">
        <v>346</v>
      </c>
      <c r="C325" t="s">
        <v>13</v>
      </c>
      <c r="D325" t="s">
        <v>14</v>
      </c>
      <c r="E325">
        <v>1</v>
      </c>
      <c r="F325">
        <v>16.84</v>
      </c>
      <c r="G325" t="s">
        <v>19</v>
      </c>
      <c r="H325" s="1">
        <v>45799.59070601852</v>
      </c>
    </row>
    <row r="326" spans="1:8" x14ac:dyDescent="0.25">
      <c r="A326">
        <v>3912</v>
      </c>
      <c r="B326" t="s">
        <v>347</v>
      </c>
      <c r="C326" t="s">
        <v>9</v>
      </c>
      <c r="D326" t="s">
        <v>10</v>
      </c>
      <c r="E326">
        <v>3</v>
      </c>
      <c r="F326">
        <v>4.5</v>
      </c>
      <c r="G326" t="s">
        <v>15</v>
      </c>
      <c r="H326" s="1">
        <v>45721.453599537039</v>
      </c>
    </row>
    <row r="327" spans="1:8" x14ac:dyDescent="0.25">
      <c r="A327">
        <v>2740</v>
      </c>
      <c r="B327" t="s">
        <v>348</v>
      </c>
      <c r="C327" t="s">
        <v>21</v>
      </c>
      <c r="D327" t="s">
        <v>22</v>
      </c>
      <c r="E327">
        <v>4</v>
      </c>
      <c r="F327">
        <v>20.47</v>
      </c>
      <c r="G327" t="s">
        <v>19</v>
      </c>
      <c r="H327" s="1">
        <v>45858.098611111112</v>
      </c>
    </row>
    <row r="328" spans="1:8" x14ac:dyDescent="0.25">
      <c r="A328">
        <v>5509</v>
      </c>
      <c r="B328" t="s">
        <v>349</v>
      </c>
      <c r="C328" t="s">
        <v>37</v>
      </c>
      <c r="D328" t="s">
        <v>10</v>
      </c>
      <c r="E328">
        <v>3</v>
      </c>
      <c r="F328">
        <v>17.18</v>
      </c>
      <c r="G328" t="s">
        <v>17</v>
      </c>
      <c r="H328" s="1">
        <v>45774.48878472222</v>
      </c>
    </row>
    <row r="329" spans="1:8" x14ac:dyDescent="0.25">
      <c r="A329">
        <v>7469</v>
      </c>
      <c r="B329" t="s">
        <v>350</v>
      </c>
      <c r="C329" t="s">
        <v>35</v>
      </c>
      <c r="D329" t="s">
        <v>22</v>
      </c>
      <c r="E329">
        <v>3</v>
      </c>
      <c r="F329">
        <v>16.38</v>
      </c>
      <c r="G329" t="s">
        <v>11</v>
      </c>
      <c r="H329" s="1">
        <v>45677.915138888886</v>
      </c>
    </row>
    <row r="330" spans="1:8" x14ac:dyDescent="0.25">
      <c r="A330">
        <v>8216</v>
      </c>
      <c r="B330" t="s">
        <v>351</v>
      </c>
      <c r="C330" t="s">
        <v>30</v>
      </c>
      <c r="D330" t="s">
        <v>10</v>
      </c>
      <c r="E330">
        <v>4</v>
      </c>
      <c r="F330">
        <v>4.46</v>
      </c>
      <c r="G330" t="s">
        <v>11</v>
      </c>
      <c r="H330" s="1">
        <v>45841.184293981481</v>
      </c>
    </row>
    <row r="331" spans="1:8" x14ac:dyDescent="0.25">
      <c r="A331">
        <v>7631</v>
      </c>
      <c r="B331" t="s">
        <v>352</v>
      </c>
      <c r="C331" t="s">
        <v>35</v>
      </c>
      <c r="D331" t="s">
        <v>22</v>
      </c>
      <c r="E331">
        <v>1</v>
      </c>
      <c r="F331">
        <v>18.78</v>
      </c>
      <c r="G331" t="s">
        <v>19</v>
      </c>
      <c r="H331" s="1">
        <v>45880.639004629629</v>
      </c>
    </row>
    <row r="332" spans="1:8" x14ac:dyDescent="0.25">
      <c r="A332">
        <v>1383</v>
      </c>
      <c r="B332" t="s">
        <v>353</v>
      </c>
      <c r="C332" t="s">
        <v>28</v>
      </c>
      <c r="D332" t="s">
        <v>14</v>
      </c>
      <c r="E332">
        <v>2</v>
      </c>
      <c r="F332">
        <v>23.5</v>
      </c>
      <c r="G332" t="s">
        <v>19</v>
      </c>
      <c r="H332" s="1">
        <v>45820.917222222219</v>
      </c>
    </row>
    <row r="333" spans="1:8" x14ac:dyDescent="0.25">
      <c r="A333">
        <v>6590</v>
      </c>
      <c r="B333" t="s">
        <v>354</v>
      </c>
      <c r="C333" t="s">
        <v>21</v>
      </c>
      <c r="D333" t="s">
        <v>22</v>
      </c>
      <c r="E333">
        <v>5</v>
      </c>
      <c r="F333">
        <v>17.04</v>
      </c>
      <c r="G333" t="s">
        <v>15</v>
      </c>
      <c r="H333" s="1">
        <v>45745.684502314813</v>
      </c>
    </row>
    <row r="334" spans="1:8" x14ac:dyDescent="0.25">
      <c r="A334">
        <v>5766</v>
      </c>
      <c r="B334" t="s">
        <v>355</v>
      </c>
      <c r="C334" t="s">
        <v>13</v>
      </c>
      <c r="D334" t="s">
        <v>14</v>
      </c>
      <c r="E334">
        <v>5</v>
      </c>
      <c r="F334">
        <v>6.02</v>
      </c>
      <c r="G334" t="s">
        <v>15</v>
      </c>
      <c r="H334" s="1">
        <v>45682.859560185185</v>
      </c>
    </row>
    <row r="335" spans="1:8" x14ac:dyDescent="0.25">
      <c r="A335">
        <v>6863</v>
      </c>
      <c r="B335" t="s">
        <v>356</v>
      </c>
      <c r="C335" t="s">
        <v>35</v>
      </c>
      <c r="D335" t="s">
        <v>22</v>
      </c>
      <c r="E335">
        <v>1</v>
      </c>
      <c r="F335">
        <v>16.38</v>
      </c>
      <c r="G335" t="s">
        <v>15</v>
      </c>
      <c r="H335" s="1">
        <v>45743.511666666665</v>
      </c>
    </row>
    <row r="336" spans="1:8" x14ac:dyDescent="0.25">
      <c r="A336">
        <v>2443</v>
      </c>
      <c r="B336" t="s">
        <v>357</v>
      </c>
      <c r="C336" t="s">
        <v>37</v>
      </c>
      <c r="D336" t="s">
        <v>10</v>
      </c>
      <c r="E336">
        <v>1</v>
      </c>
      <c r="F336">
        <v>5.37</v>
      </c>
      <c r="G336" t="s">
        <v>17</v>
      </c>
      <c r="H336" s="1">
        <v>45703.949363425927</v>
      </c>
    </row>
    <row r="337" spans="1:8" x14ac:dyDescent="0.25">
      <c r="A337">
        <v>7019</v>
      </c>
      <c r="B337" t="s">
        <v>358</v>
      </c>
      <c r="C337" t="s">
        <v>30</v>
      </c>
      <c r="D337" t="s">
        <v>10</v>
      </c>
      <c r="E337">
        <v>4</v>
      </c>
      <c r="F337">
        <v>21.44</v>
      </c>
      <c r="G337" t="s">
        <v>15</v>
      </c>
      <c r="H337" s="1">
        <v>45863.947060185186</v>
      </c>
    </row>
    <row r="338" spans="1:8" x14ac:dyDescent="0.25">
      <c r="A338">
        <v>8968</v>
      </c>
      <c r="B338" t="s">
        <v>359</v>
      </c>
      <c r="C338" t="s">
        <v>37</v>
      </c>
      <c r="D338" t="s">
        <v>10</v>
      </c>
      <c r="E338">
        <v>1</v>
      </c>
      <c r="F338">
        <v>16.309999999999999</v>
      </c>
      <c r="G338" t="s">
        <v>19</v>
      </c>
      <c r="H338" s="1">
        <v>45739.636516203704</v>
      </c>
    </row>
    <row r="339" spans="1:8" x14ac:dyDescent="0.25">
      <c r="A339">
        <v>2795</v>
      </c>
      <c r="B339" t="s">
        <v>360</v>
      </c>
      <c r="C339" t="s">
        <v>33</v>
      </c>
      <c r="D339" t="s">
        <v>14</v>
      </c>
      <c r="E339">
        <v>1</v>
      </c>
      <c r="F339">
        <v>4.5999999999999996</v>
      </c>
      <c r="G339" t="s">
        <v>11</v>
      </c>
      <c r="H339" s="1">
        <v>45777.153831018521</v>
      </c>
    </row>
    <row r="340" spans="1:8" x14ac:dyDescent="0.25">
      <c r="A340">
        <v>7004</v>
      </c>
      <c r="B340" t="s">
        <v>361</v>
      </c>
      <c r="C340" t="s">
        <v>9</v>
      </c>
      <c r="D340" t="s">
        <v>10</v>
      </c>
      <c r="E340">
        <v>3</v>
      </c>
      <c r="F340">
        <v>12.29</v>
      </c>
      <c r="G340" t="s">
        <v>19</v>
      </c>
      <c r="H340" s="1">
        <v>45788.448495370372</v>
      </c>
    </row>
    <row r="341" spans="1:8" x14ac:dyDescent="0.25">
      <c r="A341">
        <v>8828</v>
      </c>
      <c r="B341" t="s">
        <v>362</v>
      </c>
      <c r="C341" t="s">
        <v>40</v>
      </c>
      <c r="D341" t="s">
        <v>22</v>
      </c>
      <c r="E341">
        <v>1</v>
      </c>
      <c r="F341">
        <v>13.11</v>
      </c>
      <c r="G341" t="s">
        <v>11</v>
      </c>
      <c r="H341" s="1">
        <v>45761.252453703702</v>
      </c>
    </row>
    <row r="342" spans="1:8" x14ac:dyDescent="0.25">
      <c r="A342">
        <v>5892</v>
      </c>
      <c r="B342" t="s">
        <v>363</v>
      </c>
      <c r="C342" t="s">
        <v>28</v>
      </c>
      <c r="D342" t="s">
        <v>14</v>
      </c>
      <c r="E342">
        <v>5</v>
      </c>
      <c r="F342">
        <v>22.63</v>
      </c>
      <c r="G342" t="s">
        <v>17</v>
      </c>
      <c r="H342" s="1">
        <v>45757.588530092595</v>
      </c>
    </row>
    <row r="343" spans="1:8" x14ac:dyDescent="0.25">
      <c r="A343">
        <v>8740</v>
      </c>
      <c r="B343" t="s">
        <v>364</v>
      </c>
      <c r="C343" t="s">
        <v>28</v>
      </c>
      <c r="D343" t="s">
        <v>14</v>
      </c>
      <c r="E343">
        <v>5</v>
      </c>
      <c r="F343">
        <v>12.26</v>
      </c>
      <c r="G343" t="s">
        <v>17</v>
      </c>
      <c r="H343" s="1">
        <v>45697.875520833331</v>
      </c>
    </row>
    <row r="344" spans="1:8" x14ac:dyDescent="0.25">
      <c r="A344">
        <v>5294</v>
      </c>
      <c r="B344" t="s">
        <v>365</v>
      </c>
      <c r="C344" t="s">
        <v>30</v>
      </c>
      <c r="D344" t="s">
        <v>10</v>
      </c>
      <c r="E344">
        <v>3</v>
      </c>
      <c r="F344">
        <v>11.86</v>
      </c>
      <c r="G344" t="s">
        <v>11</v>
      </c>
      <c r="H344" s="1">
        <v>45786.592650462961</v>
      </c>
    </row>
    <row r="345" spans="1:8" x14ac:dyDescent="0.25">
      <c r="A345">
        <v>2391</v>
      </c>
      <c r="B345" t="s">
        <v>366</v>
      </c>
      <c r="C345" t="s">
        <v>40</v>
      </c>
      <c r="D345" t="s">
        <v>22</v>
      </c>
      <c r="E345">
        <v>1</v>
      </c>
      <c r="F345">
        <v>9.02</v>
      </c>
      <c r="G345" t="s">
        <v>15</v>
      </c>
      <c r="H345" s="1">
        <v>45661.048090277778</v>
      </c>
    </row>
    <row r="346" spans="1:8" x14ac:dyDescent="0.25">
      <c r="A346">
        <v>3639</v>
      </c>
      <c r="B346" t="s">
        <v>367</v>
      </c>
      <c r="C346" t="s">
        <v>33</v>
      </c>
      <c r="D346" t="s">
        <v>14</v>
      </c>
      <c r="E346">
        <v>1</v>
      </c>
      <c r="F346">
        <v>9.6999999999999993</v>
      </c>
      <c r="G346" t="s">
        <v>11</v>
      </c>
      <c r="H346" s="1">
        <v>45721.252881944441</v>
      </c>
    </row>
    <row r="347" spans="1:8" x14ac:dyDescent="0.25">
      <c r="A347">
        <v>6792</v>
      </c>
      <c r="B347" t="s">
        <v>368</v>
      </c>
      <c r="C347" t="s">
        <v>21</v>
      </c>
      <c r="D347" t="s">
        <v>22</v>
      </c>
      <c r="E347">
        <v>4</v>
      </c>
      <c r="F347">
        <v>8.76</v>
      </c>
      <c r="G347" t="s">
        <v>19</v>
      </c>
      <c r="H347" s="1">
        <v>45734.559363425928</v>
      </c>
    </row>
    <row r="348" spans="1:8" x14ac:dyDescent="0.25">
      <c r="A348">
        <v>2330</v>
      </c>
      <c r="B348" t="s">
        <v>369</v>
      </c>
      <c r="C348" t="s">
        <v>33</v>
      </c>
      <c r="D348" t="s">
        <v>14</v>
      </c>
      <c r="E348">
        <v>1</v>
      </c>
      <c r="F348">
        <v>10.11</v>
      </c>
      <c r="G348" t="s">
        <v>19</v>
      </c>
      <c r="H348" s="1">
        <v>45793.822083333333</v>
      </c>
    </row>
    <row r="349" spans="1:8" x14ac:dyDescent="0.25">
      <c r="A349">
        <v>3834</v>
      </c>
      <c r="B349" t="s">
        <v>370</v>
      </c>
      <c r="C349" t="s">
        <v>35</v>
      </c>
      <c r="D349" t="s">
        <v>22</v>
      </c>
      <c r="E349">
        <v>3</v>
      </c>
      <c r="F349">
        <v>7.91</v>
      </c>
      <c r="G349" t="s">
        <v>11</v>
      </c>
      <c r="H349" s="1">
        <v>45696.171111111114</v>
      </c>
    </row>
    <row r="350" spans="1:8" x14ac:dyDescent="0.25">
      <c r="A350">
        <v>4060</v>
      </c>
      <c r="B350" t="s">
        <v>371</v>
      </c>
      <c r="C350" t="s">
        <v>33</v>
      </c>
      <c r="D350" t="s">
        <v>14</v>
      </c>
      <c r="E350">
        <v>4</v>
      </c>
      <c r="F350">
        <v>13.71</v>
      </c>
      <c r="G350" t="s">
        <v>19</v>
      </c>
      <c r="H350" s="1">
        <v>45771.219826388886</v>
      </c>
    </row>
    <row r="351" spans="1:8" x14ac:dyDescent="0.25">
      <c r="A351">
        <v>6280</v>
      </c>
      <c r="B351" t="s">
        <v>372</v>
      </c>
      <c r="C351" t="s">
        <v>33</v>
      </c>
      <c r="D351" t="s">
        <v>14</v>
      </c>
      <c r="E351">
        <v>1</v>
      </c>
      <c r="F351">
        <v>16.940000000000001</v>
      </c>
      <c r="G351" t="s">
        <v>11</v>
      </c>
      <c r="H351" s="1">
        <v>45853.961886574078</v>
      </c>
    </row>
    <row r="352" spans="1:8" x14ac:dyDescent="0.25">
      <c r="A352">
        <v>8460</v>
      </c>
      <c r="B352" t="s">
        <v>373</v>
      </c>
      <c r="C352" t="s">
        <v>21</v>
      </c>
      <c r="D352" t="s">
        <v>22</v>
      </c>
      <c r="E352">
        <v>5</v>
      </c>
      <c r="F352">
        <v>24.88</v>
      </c>
      <c r="G352" t="s">
        <v>19</v>
      </c>
      <c r="H352" s="1">
        <v>45719.358414351853</v>
      </c>
    </row>
    <row r="353" spans="1:8" x14ac:dyDescent="0.25">
      <c r="A353">
        <v>8196</v>
      </c>
      <c r="B353" t="s">
        <v>374</v>
      </c>
      <c r="C353" t="s">
        <v>13</v>
      </c>
      <c r="D353" t="s">
        <v>14</v>
      </c>
      <c r="E353">
        <v>1</v>
      </c>
      <c r="F353">
        <v>13.91</v>
      </c>
      <c r="G353" t="s">
        <v>19</v>
      </c>
      <c r="H353" s="1">
        <v>45756.742777777778</v>
      </c>
    </row>
    <row r="354" spans="1:8" x14ac:dyDescent="0.25">
      <c r="A354">
        <v>8927</v>
      </c>
      <c r="B354" t="s">
        <v>375</v>
      </c>
      <c r="C354" t="s">
        <v>21</v>
      </c>
      <c r="D354" t="s">
        <v>22</v>
      </c>
      <c r="E354">
        <v>1</v>
      </c>
      <c r="F354">
        <v>18.170000000000002</v>
      </c>
      <c r="G354" t="s">
        <v>11</v>
      </c>
      <c r="H354" s="1">
        <v>45837.702789351853</v>
      </c>
    </row>
    <row r="355" spans="1:8" x14ac:dyDescent="0.25">
      <c r="A355">
        <v>4908</v>
      </c>
      <c r="B355" t="s">
        <v>376</v>
      </c>
      <c r="C355" t="s">
        <v>33</v>
      </c>
      <c r="D355" t="s">
        <v>14</v>
      </c>
      <c r="E355">
        <v>4</v>
      </c>
      <c r="F355">
        <v>2.5099999999999998</v>
      </c>
      <c r="G355" t="s">
        <v>19</v>
      </c>
      <c r="H355" s="1">
        <v>45685.614687499998</v>
      </c>
    </row>
    <row r="356" spans="1:8" x14ac:dyDescent="0.25">
      <c r="A356">
        <v>9888</v>
      </c>
      <c r="B356" t="s">
        <v>377</v>
      </c>
      <c r="C356" t="s">
        <v>9</v>
      </c>
      <c r="D356" t="s">
        <v>10</v>
      </c>
      <c r="E356">
        <v>1</v>
      </c>
      <c r="F356">
        <v>13.86</v>
      </c>
      <c r="G356" t="s">
        <v>15</v>
      </c>
      <c r="H356" s="1">
        <v>45811.77375</v>
      </c>
    </row>
    <row r="357" spans="1:8" x14ac:dyDescent="0.25">
      <c r="A357">
        <v>4250</v>
      </c>
      <c r="B357" t="s">
        <v>378</v>
      </c>
      <c r="C357" t="s">
        <v>13</v>
      </c>
      <c r="D357" t="s">
        <v>14</v>
      </c>
      <c r="E357">
        <v>2</v>
      </c>
      <c r="F357">
        <v>2.62</v>
      </c>
      <c r="G357" t="s">
        <v>17</v>
      </c>
      <c r="H357" s="1">
        <v>45721.43822916667</v>
      </c>
    </row>
    <row r="358" spans="1:8" x14ac:dyDescent="0.25">
      <c r="A358">
        <v>9625</v>
      </c>
      <c r="B358" t="s">
        <v>379</v>
      </c>
      <c r="C358" t="s">
        <v>37</v>
      </c>
      <c r="D358" t="s">
        <v>10</v>
      </c>
      <c r="E358">
        <v>1</v>
      </c>
      <c r="F358">
        <v>16.55</v>
      </c>
      <c r="G358" t="s">
        <v>15</v>
      </c>
      <c r="H358" s="1">
        <v>45811.109247685185</v>
      </c>
    </row>
    <row r="359" spans="1:8" x14ac:dyDescent="0.25">
      <c r="A359">
        <v>1812</v>
      </c>
      <c r="B359" t="s">
        <v>380</v>
      </c>
      <c r="C359" t="s">
        <v>30</v>
      </c>
      <c r="D359" t="s">
        <v>10</v>
      </c>
      <c r="E359">
        <v>4</v>
      </c>
      <c r="F359">
        <v>22.68</v>
      </c>
      <c r="G359" t="s">
        <v>11</v>
      </c>
      <c r="H359" s="1">
        <v>45865.875104166669</v>
      </c>
    </row>
    <row r="360" spans="1:8" x14ac:dyDescent="0.25">
      <c r="A360">
        <v>9969</v>
      </c>
      <c r="B360" t="s">
        <v>381</v>
      </c>
      <c r="C360" t="s">
        <v>35</v>
      </c>
      <c r="D360" t="s">
        <v>22</v>
      </c>
      <c r="E360">
        <v>3</v>
      </c>
      <c r="F360">
        <v>9.42</v>
      </c>
      <c r="G360" t="s">
        <v>15</v>
      </c>
      <c r="H360" s="1">
        <v>45815.38212962963</v>
      </c>
    </row>
    <row r="361" spans="1:8" x14ac:dyDescent="0.25">
      <c r="A361">
        <v>6634</v>
      </c>
      <c r="B361" t="s">
        <v>382</v>
      </c>
      <c r="C361" t="s">
        <v>9</v>
      </c>
      <c r="D361" t="s">
        <v>10</v>
      </c>
      <c r="E361">
        <v>5</v>
      </c>
      <c r="F361">
        <v>24.87</v>
      </c>
      <c r="G361" t="s">
        <v>17</v>
      </c>
      <c r="H361" s="1">
        <v>45810.453784722224</v>
      </c>
    </row>
    <row r="362" spans="1:8" x14ac:dyDescent="0.25">
      <c r="A362">
        <v>2710</v>
      </c>
      <c r="B362" t="s">
        <v>383</v>
      </c>
      <c r="C362" t="s">
        <v>9</v>
      </c>
      <c r="D362" t="s">
        <v>10</v>
      </c>
      <c r="E362">
        <v>3</v>
      </c>
      <c r="F362">
        <v>15.26</v>
      </c>
      <c r="G362" t="s">
        <v>17</v>
      </c>
      <c r="H362" s="1">
        <v>45813.855810185189</v>
      </c>
    </row>
    <row r="363" spans="1:8" x14ac:dyDescent="0.25">
      <c r="A363">
        <v>9737</v>
      </c>
      <c r="B363" t="s">
        <v>384</v>
      </c>
      <c r="C363" t="s">
        <v>40</v>
      </c>
      <c r="D363" t="s">
        <v>22</v>
      </c>
      <c r="E363">
        <v>1</v>
      </c>
      <c r="F363">
        <v>9.07</v>
      </c>
      <c r="G363" t="s">
        <v>17</v>
      </c>
      <c r="H363" s="1">
        <v>45770.275740740741</v>
      </c>
    </row>
    <row r="364" spans="1:8" x14ac:dyDescent="0.25">
      <c r="A364">
        <v>9001</v>
      </c>
      <c r="B364" t="s">
        <v>385</v>
      </c>
      <c r="C364" t="s">
        <v>9</v>
      </c>
      <c r="D364" t="s">
        <v>10</v>
      </c>
      <c r="E364">
        <v>5</v>
      </c>
      <c r="F364">
        <v>11.9</v>
      </c>
      <c r="G364" t="s">
        <v>19</v>
      </c>
      <c r="H364" s="1">
        <v>45812.903356481482</v>
      </c>
    </row>
    <row r="365" spans="1:8" x14ac:dyDescent="0.25">
      <c r="A365">
        <v>2723</v>
      </c>
      <c r="B365" t="s">
        <v>386</v>
      </c>
      <c r="C365" t="s">
        <v>21</v>
      </c>
      <c r="D365" t="s">
        <v>22</v>
      </c>
      <c r="E365">
        <v>5</v>
      </c>
      <c r="F365">
        <v>12.25</v>
      </c>
      <c r="G365" t="s">
        <v>19</v>
      </c>
      <c r="H365" s="1">
        <v>45699.084155092591</v>
      </c>
    </row>
    <row r="366" spans="1:8" x14ac:dyDescent="0.25">
      <c r="A366">
        <v>8964</v>
      </c>
      <c r="B366" t="s">
        <v>387</v>
      </c>
      <c r="C366" t="s">
        <v>9</v>
      </c>
      <c r="D366" t="s">
        <v>10</v>
      </c>
      <c r="E366">
        <v>4</v>
      </c>
      <c r="F366">
        <v>3.5</v>
      </c>
      <c r="G366" t="s">
        <v>19</v>
      </c>
      <c r="H366" s="1">
        <v>45869.521134259259</v>
      </c>
    </row>
    <row r="367" spans="1:8" x14ac:dyDescent="0.25">
      <c r="A367">
        <v>2894</v>
      </c>
      <c r="B367" t="s">
        <v>388</v>
      </c>
      <c r="C367" t="s">
        <v>33</v>
      </c>
      <c r="D367" t="s">
        <v>14</v>
      </c>
      <c r="E367">
        <v>2</v>
      </c>
      <c r="F367">
        <v>18.21</v>
      </c>
      <c r="G367" t="s">
        <v>19</v>
      </c>
      <c r="H367" s="1">
        <v>45728.564456018517</v>
      </c>
    </row>
    <row r="368" spans="1:8" x14ac:dyDescent="0.25">
      <c r="A368">
        <v>2849</v>
      </c>
      <c r="B368" t="s">
        <v>389</v>
      </c>
      <c r="C368" t="s">
        <v>13</v>
      </c>
      <c r="D368" t="s">
        <v>14</v>
      </c>
      <c r="E368">
        <v>1</v>
      </c>
      <c r="F368">
        <v>7.33</v>
      </c>
      <c r="G368" t="s">
        <v>11</v>
      </c>
      <c r="H368" s="1">
        <v>45678.465474537035</v>
      </c>
    </row>
    <row r="369" spans="1:8" x14ac:dyDescent="0.25">
      <c r="A369">
        <v>4870</v>
      </c>
      <c r="B369" t="s">
        <v>390</v>
      </c>
      <c r="C369" t="s">
        <v>28</v>
      </c>
      <c r="D369" t="s">
        <v>14</v>
      </c>
      <c r="E369">
        <v>2</v>
      </c>
      <c r="F369">
        <v>8.52</v>
      </c>
      <c r="G369" t="s">
        <v>19</v>
      </c>
      <c r="H369" s="1">
        <v>45682.315439814818</v>
      </c>
    </row>
    <row r="370" spans="1:8" x14ac:dyDescent="0.25">
      <c r="A370">
        <v>4224</v>
      </c>
      <c r="B370" t="s">
        <v>391</v>
      </c>
      <c r="C370" t="s">
        <v>9</v>
      </c>
      <c r="D370" t="s">
        <v>10</v>
      </c>
      <c r="E370">
        <v>4</v>
      </c>
      <c r="F370">
        <v>24.36</v>
      </c>
      <c r="G370" t="s">
        <v>15</v>
      </c>
      <c r="H370" s="1">
        <v>45679.05201388889</v>
      </c>
    </row>
    <row r="371" spans="1:8" x14ac:dyDescent="0.25">
      <c r="A371">
        <v>3217</v>
      </c>
      <c r="B371" t="s">
        <v>210</v>
      </c>
      <c r="C371" t="s">
        <v>13</v>
      </c>
      <c r="D371" t="s">
        <v>14</v>
      </c>
      <c r="E371">
        <v>4</v>
      </c>
      <c r="F371">
        <v>9.4</v>
      </c>
      <c r="G371" t="s">
        <v>15</v>
      </c>
      <c r="H371" s="1">
        <v>45819.60292824074</v>
      </c>
    </row>
    <row r="372" spans="1:8" x14ac:dyDescent="0.25">
      <c r="A372">
        <v>5467</v>
      </c>
      <c r="B372" t="s">
        <v>392</v>
      </c>
      <c r="C372" t="s">
        <v>35</v>
      </c>
      <c r="D372" t="s">
        <v>22</v>
      </c>
      <c r="E372">
        <v>2</v>
      </c>
      <c r="F372">
        <v>6.3</v>
      </c>
      <c r="G372" t="s">
        <v>15</v>
      </c>
      <c r="H372" s="1">
        <v>45707.563449074078</v>
      </c>
    </row>
    <row r="373" spans="1:8" x14ac:dyDescent="0.25">
      <c r="A373">
        <v>1574</v>
      </c>
      <c r="B373" t="s">
        <v>393</v>
      </c>
      <c r="C373" t="s">
        <v>40</v>
      </c>
      <c r="D373" t="s">
        <v>22</v>
      </c>
      <c r="E373">
        <v>2</v>
      </c>
      <c r="F373">
        <v>18.47</v>
      </c>
      <c r="G373" t="s">
        <v>17</v>
      </c>
      <c r="H373" s="1">
        <v>45846.67083333333</v>
      </c>
    </row>
    <row r="374" spans="1:8" x14ac:dyDescent="0.25">
      <c r="A374">
        <v>2799</v>
      </c>
      <c r="B374" t="s">
        <v>394</v>
      </c>
      <c r="C374" t="s">
        <v>33</v>
      </c>
      <c r="D374" t="s">
        <v>14</v>
      </c>
      <c r="E374">
        <v>1</v>
      </c>
      <c r="F374">
        <v>13.62</v>
      </c>
      <c r="G374" t="s">
        <v>11</v>
      </c>
      <c r="H374" s="1">
        <v>45833.579224537039</v>
      </c>
    </row>
    <row r="375" spans="1:8" x14ac:dyDescent="0.25">
      <c r="A375">
        <v>7981</v>
      </c>
      <c r="B375" t="s">
        <v>395</v>
      </c>
      <c r="C375" t="s">
        <v>35</v>
      </c>
      <c r="D375" t="s">
        <v>22</v>
      </c>
      <c r="E375">
        <v>5</v>
      </c>
      <c r="F375">
        <v>9.07</v>
      </c>
      <c r="G375" t="s">
        <v>17</v>
      </c>
      <c r="H375" s="1">
        <v>45771.025416666664</v>
      </c>
    </row>
    <row r="376" spans="1:8" x14ac:dyDescent="0.25">
      <c r="A376">
        <v>2085</v>
      </c>
      <c r="B376" t="s">
        <v>396</v>
      </c>
      <c r="C376" t="s">
        <v>40</v>
      </c>
      <c r="D376" t="s">
        <v>22</v>
      </c>
      <c r="E376">
        <v>5</v>
      </c>
      <c r="F376">
        <v>6.46</v>
      </c>
      <c r="G376" t="s">
        <v>15</v>
      </c>
      <c r="H376" s="1">
        <v>45814.941111111111</v>
      </c>
    </row>
    <row r="377" spans="1:8" x14ac:dyDescent="0.25">
      <c r="A377">
        <v>1708</v>
      </c>
      <c r="B377" t="s">
        <v>397</v>
      </c>
      <c r="C377" t="s">
        <v>30</v>
      </c>
      <c r="D377" t="s">
        <v>10</v>
      </c>
      <c r="E377">
        <v>1</v>
      </c>
      <c r="F377">
        <v>8.1300000000000008</v>
      </c>
      <c r="G377" t="s">
        <v>19</v>
      </c>
      <c r="H377" s="1">
        <v>45776.412418981483</v>
      </c>
    </row>
    <row r="378" spans="1:8" x14ac:dyDescent="0.25">
      <c r="A378">
        <v>2279</v>
      </c>
      <c r="B378" t="s">
        <v>398</v>
      </c>
      <c r="C378" t="s">
        <v>37</v>
      </c>
      <c r="D378" t="s">
        <v>10</v>
      </c>
      <c r="E378">
        <v>3</v>
      </c>
      <c r="F378">
        <v>14.58</v>
      </c>
      <c r="G378" t="s">
        <v>17</v>
      </c>
      <c r="H378" s="1">
        <v>45715.719421296293</v>
      </c>
    </row>
    <row r="379" spans="1:8" x14ac:dyDescent="0.25">
      <c r="A379">
        <v>9513</v>
      </c>
      <c r="B379" t="s">
        <v>399</v>
      </c>
      <c r="C379" t="s">
        <v>13</v>
      </c>
      <c r="D379" t="s">
        <v>14</v>
      </c>
      <c r="E379">
        <v>2</v>
      </c>
      <c r="F379">
        <v>9.81</v>
      </c>
      <c r="G379" t="s">
        <v>15</v>
      </c>
      <c r="H379" s="1">
        <v>45739.776956018519</v>
      </c>
    </row>
    <row r="380" spans="1:8" x14ac:dyDescent="0.25">
      <c r="A380">
        <v>1936</v>
      </c>
      <c r="B380" t="s">
        <v>400</v>
      </c>
      <c r="C380" t="s">
        <v>30</v>
      </c>
      <c r="D380" t="s">
        <v>10</v>
      </c>
      <c r="E380">
        <v>1</v>
      </c>
      <c r="F380">
        <v>7.43</v>
      </c>
      <c r="G380" t="s">
        <v>17</v>
      </c>
      <c r="H380" s="1">
        <v>45879.005219907405</v>
      </c>
    </row>
    <row r="381" spans="1:8" x14ac:dyDescent="0.25">
      <c r="A381">
        <v>9175</v>
      </c>
      <c r="B381" t="s">
        <v>401</v>
      </c>
      <c r="C381" t="s">
        <v>28</v>
      </c>
      <c r="D381" t="s">
        <v>14</v>
      </c>
      <c r="E381">
        <v>4</v>
      </c>
      <c r="F381">
        <v>16.02</v>
      </c>
      <c r="G381" t="s">
        <v>17</v>
      </c>
      <c r="H381" s="1">
        <v>45866.271597222221</v>
      </c>
    </row>
    <row r="382" spans="1:8" x14ac:dyDescent="0.25">
      <c r="A382">
        <v>1263</v>
      </c>
      <c r="B382" t="s">
        <v>402</v>
      </c>
      <c r="C382" t="s">
        <v>37</v>
      </c>
      <c r="D382" t="s">
        <v>10</v>
      </c>
      <c r="E382">
        <v>1</v>
      </c>
      <c r="F382">
        <v>19.62</v>
      </c>
      <c r="G382" t="s">
        <v>19</v>
      </c>
      <c r="H382" s="1">
        <v>45776.803726851853</v>
      </c>
    </row>
    <row r="383" spans="1:8" x14ac:dyDescent="0.25">
      <c r="A383">
        <v>7725</v>
      </c>
      <c r="B383" t="s">
        <v>403</v>
      </c>
      <c r="C383" t="s">
        <v>37</v>
      </c>
      <c r="D383" t="s">
        <v>10</v>
      </c>
      <c r="E383">
        <v>2</v>
      </c>
      <c r="F383">
        <v>5.31</v>
      </c>
      <c r="G383" t="s">
        <v>17</v>
      </c>
      <c r="H383" s="1">
        <v>45680.624849537038</v>
      </c>
    </row>
    <row r="384" spans="1:8" x14ac:dyDescent="0.25">
      <c r="A384">
        <v>5133</v>
      </c>
      <c r="B384" t="s">
        <v>404</v>
      </c>
      <c r="C384" t="s">
        <v>30</v>
      </c>
      <c r="D384" t="s">
        <v>10</v>
      </c>
      <c r="E384">
        <v>4</v>
      </c>
      <c r="F384">
        <v>3.18</v>
      </c>
      <c r="G384" t="s">
        <v>11</v>
      </c>
      <c r="H384" s="1">
        <v>45673.241388888891</v>
      </c>
    </row>
    <row r="385" spans="1:8" x14ac:dyDescent="0.25">
      <c r="A385">
        <v>3356</v>
      </c>
      <c r="B385" t="s">
        <v>405</v>
      </c>
      <c r="C385" t="s">
        <v>35</v>
      </c>
      <c r="D385" t="s">
        <v>22</v>
      </c>
      <c r="E385">
        <v>4</v>
      </c>
      <c r="F385">
        <v>12.8</v>
      </c>
      <c r="G385" t="s">
        <v>15</v>
      </c>
      <c r="H385" s="1">
        <v>45813.79954861111</v>
      </c>
    </row>
    <row r="386" spans="1:8" x14ac:dyDescent="0.25">
      <c r="A386">
        <v>9879</v>
      </c>
      <c r="B386" t="s">
        <v>406</v>
      </c>
      <c r="C386" t="s">
        <v>33</v>
      </c>
      <c r="D386" t="s">
        <v>14</v>
      </c>
      <c r="E386">
        <v>3</v>
      </c>
      <c r="F386">
        <v>4.05</v>
      </c>
      <c r="G386" t="s">
        <v>11</v>
      </c>
      <c r="H386" s="1">
        <v>45823.2190162037</v>
      </c>
    </row>
    <row r="387" spans="1:8" x14ac:dyDescent="0.25">
      <c r="A387">
        <v>7792</v>
      </c>
      <c r="B387" t="s">
        <v>407</v>
      </c>
      <c r="C387" t="s">
        <v>40</v>
      </c>
      <c r="D387" t="s">
        <v>22</v>
      </c>
      <c r="E387">
        <v>1</v>
      </c>
      <c r="F387">
        <v>6.8</v>
      </c>
      <c r="G387" t="s">
        <v>15</v>
      </c>
      <c r="H387" s="1">
        <v>45852.612384259257</v>
      </c>
    </row>
    <row r="388" spans="1:8" x14ac:dyDescent="0.25">
      <c r="A388">
        <v>6272</v>
      </c>
      <c r="B388" t="s">
        <v>408</v>
      </c>
      <c r="C388" t="s">
        <v>33</v>
      </c>
      <c r="D388" t="s">
        <v>14</v>
      </c>
      <c r="E388">
        <v>2</v>
      </c>
      <c r="F388">
        <v>3.8</v>
      </c>
      <c r="G388" t="s">
        <v>19</v>
      </c>
      <c r="H388" s="1">
        <v>45872.868703703702</v>
      </c>
    </row>
    <row r="389" spans="1:8" x14ac:dyDescent="0.25">
      <c r="A389">
        <v>7194</v>
      </c>
      <c r="B389" t="s">
        <v>409</v>
      </c>
      <c r="C389" t="s">
        <v>9</v>
      </c>
      <c r="D389" t="s">
        <v>10</v>
      </c>
      <c r="E389">
        <v>5</v>
      </c>
      <c r="F389">
        <v>18.18</v>
      </c>
      <c r="G389" t="s">
        <v>11</v>
      </c>
      <c r="H389" s="1">
        <v>45715.577256944445</v>
      </c>
    </row>
    <row r="390" spans="1:8" x14ac:dyDescent="0.25">
      <c r="A390">
        <v>4195</v>
      </c>
      <c r="B390" t="s">
        <v>410</v>
      </c>
      <c r="C390" t="s">
        <v>13</v>
      </c>
      <c r="D390" t="s">
        <v>14</v>
      </c>
      <c r="E390">
        <v>1</v>
      </c>
      <c r="F390">
        <v>21.71</v>
      </c>
      <c r="G390" t="s">
        <v>15</v>
      </c>
      <c r="H390" s="1">
        <v>45719.934942129628</v>
      </c>
    </row>
    <row r="391" spans="1:8" x14ac:dyDescent="0.25">
      <c r="A391">
        <v>7535</v>
      </c>
      <c r="B391" t="s">
        <v>411</v>
      </c>
      <c r="C391" t="s">
        <v>40</v>
      </c>
      <c r="D391" t="s">
        <v>22</v>
      </c>
      <c r="E391">
        <v>2</v>
      </c>
      <c r="F391">
        <v>22.45</v>
      </c>
      <c r="G391" t="s">
        <v>11</v>
      </c>
      <c r="H391" s="1">
        <v>45755.394872685189</v>
      </c>
    </row>
    <row r="392" spans="1:8" x14ac:dyDescent="0.25">
      <c r="A392">
        <v>2318</v>
      </c>
      <c r="B392" t="s">
        <v>412</v>
      </c>
      <c r="C392" t="s">
        <v>21</v>
      </c>
      <c r="D392" t="s">
        <v>22</v>
      </c>
      <c r="E392">
        <v>5</v>
      </c>
      <c r="F392">
        <v>13.95</v>
      </c>
      <c r="G392" t="s">
        <v>15</v>
      </c>
      <c r="H392" s="1">
        <v>45728.318530092591</v>
      </c>
    </row>
    <row r="393" spans="1:8" x14ac:dyDescent="0.25">
      <c r="A393">
        <v>7659</v>
      </c>
      <c r="B393" t="s">
        <v>413</v>
      </c>
      <c r="C393" t="s">
        <v>9</v>
      </c>
      <c r="D393" t="s">
        <v>10</v>
      </c>
      <c r="E393">
        <v>1</v>
      </c>
      <c r="F393">
        <v>16.059999999999999</v>
      </c>
      <c r="G393" t="s">
        <v>11</v>
      </c>
      <c r="H393" s="1">
        <v>45875.733032407406</v>
      </c>
    </row>
    <row r="394" spans="1:8" x14ac:dyDescent="0.25">
      <c r="A394">
        <v>8279</v>
      </c>
      <c r="B394" t="s">
        <v>414</v>
      </c>
      <c r="C394" t="s">
        <v>30</v>
      </c>
      <c r="D394" t="s">
        <v>10</v>
      </c>
      <c r="E394">
        <v>2</v>
      </c>
      <c r="F394">
        <v>12.61</v>
      </c>
      <c r="G394" t="s">
        <v>17</v>
      </c>
      <c r="H394" s="1">
        <v>45873.028715277775</v>
      </c>
    </row>
    <row r="395" spans="1:8" x14ac:dyDescent="0.25">
      <c r="A395">
        <v>4525</v>
      </c>
      <c r="B395" t="s">
        <v>415</v>
      </c>
      <c r="C395" t="s">
        <v>40</v>
      </c>
      <c r="D395" t="s">
        <v>22</v>
      </c>
      <c r="E395">
        <v>5</v>
      </c>
      <c r="F395">
        <v>23.15</v>
      </c>
      <c r="G395" t="s">
        <v>17</v>
      </c>
      <c r="H395" s="1">
        <v>45733.378981481481</v>
      </c>
    </row>
    <row r="396" spans="1:8" x14ac:dyDescent="0.25">
      <c r="A396">
        <v>5166</v>
      </c>
      <c r="B396" t="s">
        <v>416</v>
      </c>
      <c r="C396" t="s">
        <v>33</v>
      </c>
      <c r="D396" t="s">
        <v>14</v>
      </c>
      <c r="E396">
        <v>1</v>
      </c>
      <c r="F396">
        <v>11.52</v>
      </c>
      <c r="G396" t="s">
        <v>17</v>
      </c>
      <c r="H396" s="1">
        <v>45669.356157407405</v>
      </c>
    </row>
    <row r="397" spans="1:8" x14ac:dyDescent="0.25">
      <c r="A397">
        <v>5188</v>
      </c>
      <c r="B397" t="s">
        <v>417</v>
      </c>
      <c r="C397" t="s">
        <v>35</v>
      </c>
      <c r="D397" t="s">
        <v>22</v>
      </c>
      <c r="E397">
        <v>5</v>
      </c>
      <c r="F397">
        <v>17.43</v>
      </c>
      <c r="G397" t="s">
        <v>19</v>
      </c>
      <c r="H397" s="1">
        <v>45832.682372685187</v>
      </c>
    </row>
    <row r="398" spans="1:8" x14ac:dyDescent="0.25">
      <c r="A398">
        <v>9748</v>
      </c>
      <c r="B398" t="s">
        <v>418</v>
      </c>
      <c r="C398" t="s">
        <v>28</v>
      </c>
      <c r="D398" t="s">
        <v>14</v>
      </c>
      <c r="E398">
        <v>3</v>
      </c>
      <c r="F398">
        <v>24.03</v>
      </c>
      <c r="G398" t="s">
        <v>17</v>
      </c>
      <c r="H398" s="1">
        <v>45842.710393518515</v>
      </c>
    </row>
    <row r="399" spans="1:8" x14ac:dyDescent="0.25">
      <c r="A399">
        <v>5520</v>
      </c>
      <c r="B399" t="s">
        <v>419</v>
      </c>
      <c r="C399" t="s">
        <v>9</v>
      </c>
      <c r="D399" t="s">
        <v>10</v>
      </c>
      <c r="E399">
        <v>2</v>
      </c>
      <c r="F399">
        <v>7.19</v>
      </c>
      <c r="G399" t="s">
        <v>17</v>
      </c>
      <c r="H399" s="1">
        <v>45745.556168981479</v>
      </c>
    </row>
    <row r="400" spans="1:8" x14ac:dyDescent="0.25">
      <c r="A400">
        <v>4959</v>
      </c>
      <c r="B400" t="s">
        <v>420</v>
      </c>
      <c r="C400" t="s">
        <v>40</v>
      </c>
      <c r="D400" t="s">
        <v>22</v>
      </c>
      <c r="E400">
        <v>3</v>
      </c>
      <c r="F400">
        <v>11.61</v>
      </c>
      <c r="G400" t="s">
        <v>11</v>
      </c>
      <c r="H400" s="1">
        <v>45767.952905092592</v>
      </c>
    </row>
    <row r="401" spans="1:8" x14ac:dyDescent="0.25">
      <c r="A401">
        <v>9101</v>
      </c>
      <c r="B401" t="s">
        <v>421</v>
      </c>
      <c r="C401" t="s">
        <v>30</v>
      </c>
      <c r="D401" t="s">
        <v>10</v>
      </c>
      <c r="E401">
        <v>3</v>
      </c>
      <c r="F401">
        <v>4.78</v>
      </c>
      <c r="G401" t="s">
        <v>19</v>
      </c>
      <c r="H401" s="1">
        <v>45866.023055555554</v>
      </c>
    </row>
    <row r="402" spans="1:8" x14ac:dyDescent="0.25">
      <c r="A402">
        <v>5098</v>
      </c>
      <c r="B402" t="s">
        <v>422</v>
      </c>
      <c r="C402" t="s">
        <v>9</v>
      </c>
      <c r="D402" t="s">
        <v>10</v>
      </c>
      <c r="E402">
        <v>5</v>
      </c>
      <c r="F402">
        <v>10.46</v>
      </c>
      <c r="G402" t="s">
        <v>15</v>
      </c>
      <c r="H402" s="1">
        <v>45868.481562499997</v>
      </c>
    </row>
    <row r="403" spans="1:8" x14ac:dyDescent="0.25">
      <c r="A403">
        <v>1084</v>
      </c>
      <c r="B403" t="s">
        <v>423</v>
      </c>
      <c r="C403" t="s">
        <v>37</v>
      </c>
      <c r="D403" t="s">
        <v>10</v>
      </c>
      <c r="E403">
        <v>4</v>
      </c>
      <c r="F403">
        <v>22.41</v>
      </c>
      <c r="G403" t="s">
        <v>19</v>
      </c>
      <c r="H403" s="1">
        <v>45740.075138888889</v>
      </c>
    </row>
    <row r="404" spans="1:8" x14ac:dyDescent="0.25">
      <c r="A404">
        <v>7476</v>
      </c>
      <c r="B404" t="s">
        <v>424</v>
      </c>
      <c r="C404" t="s">
        <v>40</v>
      </c>
      <c r="D404" t="s">
        <v>22</v>
      </c>
      <c r="E404">
        <v>4</v>
      </c>
      <c r="F404">
        <v>22.46</v>
      </c>
      <c r="G404" t="s">
        <v>11</v>
      </c>
      <c r="H404" s="1">
        <v>45775.85083333333</v>
      </c>
    </row>
    <row r="405" spans="1:8" x14ac:dyDescent="0.25">
      <c r="A405">
        <v>1066</v>
      </c>
      <c r="B405" t="s">
        <v>425</v>
      </c>
      <c r="C405" t="s">
        <v>35</v>
      </c>
      <c r="D405" t="s">
        <v>22</v>
      </c>
      <c r="E405">
        <v>2</v>
      </c>
      <c r="F405">
        <v>22.97</v>
      </c>
      <c r="G405" t="s">
        <v>15</v>
      </c>
      <c r="H405" s="1">
        <v>45844.340277777781</v>
      </c>
    </row>
    <row r="406" spans="1:8" x14ac:dyDescent="0.25">
      <c r="A406">
        <v>1388</v>
      </c>
      <c r="B406" t="s">
        <v>426</v>
      </c>
      <c r="C406" t="s">
        <v>28</v>
      </c>
      <c r="D406" t="s">
        <v>14</v>
      </c>
      <c r="E406">
        <v>4</v>
      </c>
      <c r="F406">
        <v>22.78</v>
      </c>
      <c r="G406" t="s">
        <v>11</v>
      </c>
      <c r="H406" s="1">
        <v>45821.640428240738</v>
      </c>
    </row>
    <row r="407" spans="1:8" x14ac:dyDescent="0.25">
      <c r="A407">
        <v>8526</v>
      </c>
      <c r="B407" t="s">
        <v>427</v>
      </c>
      <c r="C407" t="s">
        <v>40</v>
      </c>
      <c r="D407" t="s">
        <v>22</v>
      </c>
      <c r="E407">
        <v>1</v>
      </c>
      <c r="F407">
        <v>15.84</v>
      </c>
      <c r="G407" t="s">
        <v>11</v>
      </c>
      <c r="H407" s="1">
        <v>45825.890532407408</v>
      </c>
    </row>
    <row r="408" spans="1:8" x14ac:dyDescent="0.25">
      <c r="A408">
        <v>5252</v>
      </c>
      <c r="B408" t="s">
        <v>428</v>
      </c>
      <c r="C408" t="s">
        <v>35</v>
      </c>
      <c r="D408" t="s">
        <v>22</v>
      </c>
      <c r="E408">
        <v>2</v>
      </c>
      <c r="F408">
        <v>24.51</v>
      </c>
      <c r="G408" t="s">
        <v>11</v>
      </c>
      <c r="H408" s="1">
        <v>45865.463101851848</v>
      </c>
    </row>
    <row r="409" spans="1:8" x14ac:dyDescent="0.25">
      <c r="A409">
        <v>9798</v>
      </c>
      <c r="B409" t="s">
        <v>429</v>
      </c>
      <c r="C409" t="s">
        <v>28</v>
      </c>
      <c r="D409" t="s">
        <v>14</v>
      </c>
      <c r="E409">
        <v>5</v>
      </c>
      <c r="F409">
        <v>10.53</v>
      </c>
      <c r="G409" t="s">
        <v>11</v>
      </c>
      <c r="H409" s="1">
        <v>45764.771469907406</v>
      </c>
    </row>
    <row r="410" spans="1:8" x14ac:dyDescent="0.25">
      <c r="A410">
        <v>2065</v>
      </c>
      <c r="B410" t="s">
        <v>430</v>
      </c>
      <c r="C410" t="s">
        <v>30</v>
      </c>
      <c r="D410" t="s">
        <v>10</v>
      </c>
      <c r="E410">
        <v>4</v>
      </c>
      <c r="F410">
        <v>19.86</v>
      </c>
      <c r="G410" t="s">
        <v>19</v>
      </c>
      <c r="H410" s="1">
        <v>45659.441840277781</v>
      </c>
    </row>
    <row r="411" spans="1:8" x14ac:dyDescent="0.25">
      <c r="A411">
        <v>5103</v>
      </c>
      <c r="B411" t="s">
        <v>431</v>
      </c>
      <c r="C411" t="s">
        <v>13</v>
      </c>
      <c r="D411" t="s">
        <v>14</v>
      </c>
      <c r="E411">
        <v>3</v>
      </c>
      <c r="F411">
        <v>13.97</v>
      </c>
      <c r="G411" t="s">
        <v>19</v>
      </c>
      <c r="H411" s="1">
        <v>45786.786180555559</v>
      </c>
    </row>
    <row r="412" spans="1:8" x14ac:dyDescent="0.25">
      <c r="A412">
        <v>6685</v>
      </c>
      <c r="B412" t="s">
        <v>432</v>
      </c>
      <c r="C412" t="s">
        <v>13</v>
      </c>
      <c r="D412" t="s">
        <v>14</v>
      </c>
      <c r="E412">
        <v>1</v>
      </c>
      <c r="F412">
        <v>17.350000000000001</v>
      </c>
      <c r="G412" t="s">
        <v>15</v>
      </c>
      <c r="H412" s="1">
        <v>45832.038668981484</v>
      </c>
    </row>
    <row r="413" spans="1:8" x14ac:dyDescent="0.25">
      <c r="A413">
        <v>3640</v>
      </c>
      <c r="B413" t="s">
        <v>433</v>
      </c>
      <c r="C413" t="s">
        <v>9</v>
      </c>
      <c r="D413" t="s">
        <v>10</v>
      </c>
      <c r="E413">
        <v>5</v>
      </c>
      <c r="F413">
        <v>14.17</v>
      </c>
      <c r="G413" t="s">
        <v>19</v>
      </c>
      <c r="H413" s="1">
        <v>45862.706689814811</v>
      </c>
    </row>
    <row r="414" spans="1:8" x14ac:dyDescent="0.25">
      <c r="A414">
        <v>8700</v>
      </c>
      <c r="B414" t="s">
        <v>434</v>
      </c>
      <c r="C414" t="s">
        <v>37</v>
      </c>
      <c r="D414" t="s">
        <v>10</v>
      </c>
      <c r="E414">
        <v>1</v>
      </c>
      <c r="F414">
        <v>6.27</v>
      </c>
      <c r="G414" t="s">
        <v>17</v>
      </c>
      <c r="H414" s="1">
        <v>45816.538182870368</v>
      </c>
    </row>
    <row r="415" spans="1:8" x14ac:dyDescent="0.25">
      <c r="A415">
        <v>5416</v>
      </c>
      <c r="B415" t="s">
        <v>435</v>
      </c>
      <c r="C415" t="s">
        <v>13</v>
      </c>
      <c r="D415" t="s">
        <v>14</v>
      </c>
      <c r="E415">
        <v>4</v>
      </c>
      <c r="F415">
        <v>12.91</v>
      </c>
      <c r="G415" t="s">
        <v>19</v>
      </c>
      <c r="H415" s="1">
        <v>45780.218819444446</v>
      </c>
    </row>
    <row r="416" spans="1:8" x14ac:dyDescent="0.25">
      <c r="A416">
        <v>6070</v>
      </c>
      <c r="B416" t="s">
        <v>436</v>
      </c>
      <c r="C416" t="s">
        <v>28</v>
      </c>
      <c r="D416" t="s">
        <v>14</v>
      </c>
      <c r="E416">
        <v>3</v>
      </c>
      <c r="F416">
        <v>14.89</v>
      </c>
      <c r="G416" t="s">
        <v>19</v>
      </c>
      <c r="H416" s="1">
        <v>45738.295787037037</v>
      </c>
    </row>
    <row r="417" spans="1:8" x14ac:dyDescent="0.25">
      <c r="A417">
        <v>8560</v>
      </c>
      <c r="B417" t="s">
        <v>437</v>
      </c>
      <c r="C417" t="s">
        <v>37</v>
      </c>
      <c r="D417" t="s">
        <v>10</v>
      </c>
      <c r="E417">
        <v>1</v>
      </c>
      <c r="F417">
        <v>20.260000000000002</v>
      </c>
      <c r="G417" t="s">
        <v>17</v>
      </c>
      <c r="H417" s="1">
        <v>45876.371562499997</v>
      </c>
    </row>
    <row r="418" spans="1:8" x14ac:dyDescent="0.25">
      <c r="A418">
        <v>3609</v>
      </c>
      <c r="B418" t="s">
        <v>438</v>
      </c>
      <c r="C418" t="s">
        <v>40</v>
      </c>
      <c r="D418" t="s">
        <v>22</v>
      </c>
      <c r="E418">
        <v>2</v>
      </c>
      <c r="F418">
        <v>15.5</v>
      </c>
      <c r="G418" t="s">
        <v>11</v>
      </c>
      <c r="H418" s="1">
        <v>45724.995868055557</v>
      </c>
    </row>
    <row r="419" spans="1:8" x14ac:dyDescent="0.25">
      <c r="A419">
        <v>7628</v>
      </c>
      <c r="B419" t="s">
        <v>439</v>
      </c>
      <c r="C419" t="s">
        <v>30</v>
      </c>
      <c r="D419" t="s">
        <v>10</v>
      </c>
      <c r="E419">
        <v>2</v>
      </c>
      <c r="F419">
        <v>22.54</v>
      </c>
      <c r="G419" t="s">
        <v>17</v>
      </c>
      <c r="H419" s="1">
        <v>45791.362384259257</v>
      </c>
    </row>
    <row r="420" spans="1:8" x14ac:dyDescent="0.25">
      <c r="A420">
        <v>1496</v>
      </c>
      <c r="B420" t="s">
        <v>440</v>
      </c>
      <c r="C420" t="s">
        <v>35</v>
      </c>
      <c r="D420" t="s">
        <v>22</v>
      </c>
      <c r="E420">
        <v>5</v>
      </c>
      <c r="F420">
        <v>20.81</v>
      </c>
      <c r="G420" t="s">
        <v>17</v>
      </c>
      <c r="H420" s="1">
        <v>45804.832499999997</v>
      </c>
    </row>
    <row r="421" spans="1:8" x14ac:dyDescent="0.25">
      <c r="A421">
        <v>2966</v>
      </c>
      <c r="B421" t="s">
        <v>441</v>
      </c>
      <c r="C421" t="s">
        <v>33</v>
      </c>
      <c r="D421" t="s">
        <v>14</v>
      </c>
      <c r="E421">
        <v>2</v>
      </c>
      <c r="F421">
        <v>8.85</v>
      </c>
      <c r="G421" t="s">
        <v>17</v>
      </c>
      <c r="H421" s="1">
        <v>45880.622118055559</v>
      </c>
    </row>
    <row r="422" spans="1:8" x14ac:dyDescent="0.25">
      <c r="A422">
        <v>1057</v>
      </c>
      <c r="B422" t="s">
        <v>442</v>
      </c>
      <c r="C422" t="s">
        <v>21</v>
      </c>
      <c r="D422" t="s">
        <v>22</v>
      </c>
      <c r="E422">
        <v>5</v>
      </c>
      <c r="F422">
        <v>5.12</v>
      </c>
      <c r="G422" t="s">
        <v>17</v>
      </c>
      <c r="H422" s="1">
        <v>45755.166134259256</v>
      </c>
    </row>
    <row r="423" spans="1:8" x14ac:dyDescent="0.25">
      <c r="A423">
        <v>7424</v>
      </c>
      <c r="B423" t="s">
        <v>443</v>
      </c>
      <c r="C423" t="s">
        <v>28</v>
      </c>
      <c r="D423" t="s">
        <v>14</v>
      </c>
      <c r="E423">
        <v>1</v>
      </c>
      <c r="F423">
        <v>2.5099999999999998</v>
      </c>
      <c r="G423" t="s">
        <v>17</v>
      </c>
      <c r="H423" s="1">
        <v>45732.384548611109</v>
      </c>
    </row>
    <row r="424" spans="1:8" x14ac:dyDescent="0.25">
      <c r="A424">
        <v>3765</v>
      </c>
      <c r="B424" t="s">
        <v>444</v>
      </c>
      <c r="C424" t="s">
        <v>28</v>
      </c>
      <c r="D424" t="s">
        <v>14</v>
      </c>
      <c r="E424">
        <v>3</v>
      </c>
      <c r="F424">
        <v>7.48</v>
      </c>
      <c r="G424" t="s">
        <v>19</v>
      </c>
      <c r="H424" s="1">
        <v>45854.568298611113</v>
      </c>
    </row>
    <row r="425" spans="1:8" x14ac:dyDescent="0.25">
      <c r="A425">
        <v>9130</v>
      </c>
      <c r="B425" t="s">
        <v>445</v>
      </c>
      <c r="C425" t="s">
        <v>35</v>
      </c>
      <c r="D425" t="s">
        <v>22</v>
      </c>
      <c r="E425">
        <v>4</v>
      </c>
      <c r="F425">
        <v>18.670000000000002</v>
      </c>
      <c r="G425" t="s">
        <v>19</v>
      </c>
      <c r="H425" s="1">
        <v>45698.328599537039</v>
      </c>
    </row>
    <row r="426" spans="1:8" x14ac:dyDescent="0.25">
      <c r="A426">
        <v>7532</v>
      </c>
      <c r="B426" t="s">
        <v>446</v>
      </c>
      <c r="C426" t="s">
        <v>13</v>
      </c>
      <c r="D426" t="s">
        <v>14</v>
      </c>
      <c r="E426">
        <v>4</v>
      </c>
      <c r="F426">
        <v>23.76</v>
      </c>
      <c r="G426" t="s">
        <v>19</v>
      </c>
      <c r="H426" s="1">
        <v>45879.814791666664</v>
      </c>
    </row>
    <row r="427" spans="1:8" x14ac:dyDescent="0.25">
      <c r="A427">
        <v>5614</v>
      </c>
      <c r="B427" t="s">
        <v>447</v>
      </c>
      <c r="C427" t="s">
        <v>37</v>
      </c>
      <c r="D427" t="s">
        <v>10</v>
      </c>
      <c r="E427">
        <v>5</v>
      </c>
      <c r="F427">
        <v>8.86</v>
      </c>
      <c r="G427" t="s">
        <v>11</v>
      </c>
      <c r="H427" s="1">
        <v>45781.380844907406</v>
      </c>
    </row>
    <row r="428" spans="1:8" x14ac:dyDescent="0.25">
      <c r="A428">
        <v>2647</v>
      </c>
      <c r="B428" t="s">
        <v>448</v>
      </c>
      <c r="C428" t="s">
        <v>35</v>
      </c>
      <c r="D428" t="s">
        <v>22</v>
      </c>
      <c r="E428">
        <v>4</v>
      </c>
      <c r="F428">
        <v>21.58</v>
      </c>
      <c r="G428" t="s">
        <v>15</v>
      </c>
      <c r="H428" s="1">
        <v>45778.515243055554</v>
      </c>
    </row>
    <row r="429" spans="1:8" x14ac:dyDescent="0.25">
      <c r="A429">
        <v>4367</v>
      </c>
      <c r="B429" t="s">
        <v>449</v>
      </c>
      <c r="C429" t="s">
        <v>28</v>
      </c>
      <c r="D429" t="s">
        <v>14</v>
      </c>
      <c r="E429">
        <v>5</v>
      </c>
      <c r="F429">
        <v>4.4000000000000004</v>
      </c>
      <c r="G429" t="s">
        <v>11</v>
      </c>
      <c r="H429" s="1">
        <v>45752.596944444442</v>
      </c>
    </row>
    <row r="430" spans="1:8" x14ac:dyDescent="0.25">
      <c r="A430">
        <v>3517</v>
      </c>
      <c r="B430" t="s">
        <v>450</v>
      </c>
      <c r="C430" t="s">
        <v>28</v>
      </c>
      <c r="D430" t="s">
        <v>14</v>
      </c>
      <c r="E430">
        <v>2</v>
      </c>
      <c r="F430">
        <v>19.52</v>
      </c>
      <c r="G430" t="s">
        <v>11</v>
      </c>
      <c r="H430" s="1">
        <v>45753.135752314818</v>
      </c>
    </row>
    <row r="431" spans="1:8" x14ac:dyDescent="0.25">
      <c r="A431">
        <v>8008</v>
      </c>
      <c r="B431" t="s">
        <v>451</v>
      </c>
      <c r="C431" t="s">
        <v>37</v>
      </c>
      <c r="D431" t="s">
        <v>10</v>
      </c>
      <c r="E431">
        <v>1</v>
      </c>
      <c r="F431">
        <v>10.08</v>
      </c>
      <c r="G431" t="s">
        <v>19</v>
      </c>
      <c r="H431" s="1">
        <v>45860.267453703702</v>
      </c>
    </row>
    <row r="432" spans="1:8" x14ac:dyDescent="0.25">
      <c r="A432">
        <v>4569</v>
      </c>
      <c r="B432" t="s">
        <v>153</v>
      </c>
      <c r="C432" t="s">
        <v>30</v>
      </c>
      <c r="D432" t="s">
        <v>10</v>
      </c>
      <c r="E432">
        <v>4</v>
      </c>
      <c r="F432">
        <v>19.73</v>
      </c>
      <c r="G432" t="s">
        <v>17</v>
      </c>
      <c r="H432" s="1">
        <v>45730.397476851853</v>
      </c>
    </row>
    <row r="433" spans="1:8" x14ac:dyDescent="0.25">
      <c r="A433">
        <v>9207</v>
      </c>
      <c r="B433" t="s">
        <v>452</v>
      </c>
      <c r="C433" t="s">
        <v>13</v>
      </c>
      <c r="D433" t="s">
        <v>14</v>
      </c>
      <c r="E433">
        <v>4</v>
      </c>
      <c r="F433">
        <v>13.24</v>
      </c>
      <c r="G433" t="s">
        <v>11</v>
      </c>
      <c r="H433" s="1">
        <v>45701.053020833337</v>
      </c>
    </row>
    <row r="434" spans="1:8" x14ac:dyDescent="0.25">
      <c r="A434">
        <v>1177</v>
      </c>
      <c r="B434" t="s">
        <v>453</v>
      </c>
      <c r="C434" t="s">
        <v>21</v>
      </c>
      <c r="D434" t="s">
        <v>22</v>
      </c>
      <c r="E434">
        <v>5</v>
      </c>
      <c r="F434">
        <v>2.44</v>
      </c>
      <c r="G434" t="s">
        <v>11</v>
      </c>
      <c r="H434" s="1">
        <v>45754.575428240743</v>
      </c>
    </row>
    <row r="435" spans="1:8" x14ac:dyDescent="0.25">
      <c r="A435">
        <v>1489</v>
      </c>
      <c r="B435" t="s">
        <v>454</v>
      </c>
      <c r="C435" t="s">
        <v>33</v>
      </c>
      <c r="D435" t="s">
        <v>14</v>
      </c>
      <c r="E435">
        <v>4</v>
      </c>
      <c r="F435">
        <v>10</v>
      </c>
      <c r="G435" t="s">
        <v>11</v>
      </c>
      <c r="H435" s="1">
        <v>45659.657569444447</v>
      </c>
    </row>
    <row r="436" spans="1:8" x14ac:dyDescent="0.25">
      <c r="A436">
        <v>5324</v>
      </c>
      <c r="B436" t="s">
        <v>455</v>
      </c>
      <c r="C436" t="s">
        <v>37</v>
      </c>
      <c r="D436" t="s">
        <v>10</v>
      </c>
      <c r="E436">
        <v>1</v>
      </c>
      <c r="F436">
        <v>22.59</v>
      </c>
      <c r="G436" t="s">
        <v>19</v>
      </c>
      <c r="H436" s="1">
        <v>45681.828287037039</v>
      </c>
    </row>
    <row r="437" spans="1:8" x14ac:dyDescent="0.25">
      <c r="A437">
        <v>9744</v>
      </c>
      <c r="B437" t="s">
        <v>456</v>
      </c>
      <c r="C437" t="s">
        <v>33</v>
      </c>
      <c r="D437" t="s">
        <v>14</v>
      </c>
      <c r="E437">
        <v>5</v>
      </c>
      <c r="F437">
        <v>9.69</v>
      </c>
      <c r="G437" t="s">
        <v>19</v>
      </c>
      <c r="H437" s="1">
        <v>45806.534988425927</v>
      </c>
    </row>
    <row r="438" spans="1:8" x14ac:dyDescent="0.25">
      <c r="A438">
        <v>3312</v>
      </c>
      <c r="B438" t="s">
        <v>457</v>
      </c>
      <c r="C438" t="s">
        <v>35</v>
      </c>
      <c r="D438" t="s">
        <v>22</v>
      </c>
      <c r="E438">
        <v>2</v>
      </c>
      <c r="F438">
        <v>21.63</v>
      </c>
      <c r="G438" t="s">
        <v>19</v>
      </c>
      <c r="H438" s="1">
        <v>45780.633067129631</v>
      </c>
    </row>
    <row r="439" spans="1:8" x14ac:dyDescent="0.25">
      <c r="A439">
        <v>2859</v>
      </c>
      <c r="B439" t="s">
        <v>458</v>
      </c>
      <c r="C439" t="s">
        <v>21</v>
      </c>
      <c r="D439" t="s">
        <v>22</v>
      </c>
      <c r="E439">
        <v>5</v>
      </c>
      <c r="F439">
        <v>23.02</v>
      </c>
      <c r="G439" t="s">
        <v>11</v>
      </c>
      <c r="H439" s="1">
        <v>45745.563599537039</v>
      </c>
    </row>
    <row r="440" spans="1:8" x14ac:dyDescent="0.25">
      <c r="A440">
        <v>7900</v>
      </c>
      <c r="B440" t="s">
        <v>459</v>
      </c>
      <c r="C440" t="s">
        <v>37</v>
      </c>
      <c r="D440" t="s">
        <v>10</v>
      </c>
      <c r="E440">
        <v>4</v>
      </c>
      <c r="F440">
        <v>3.61</v>
      </c>
      <c r="G440" t="s">
        <v>19</v>
      </c>
      <c r="H440" s="1">
        <v>45727.508009259262</v>
      </c>
    </row>
    <row r="441" spans="1:8" x14ac:dyDescent="0.25">
      <c r="A441">
        <v>6017</v>
      </c>
      <c r="B441" t="s">
        <v>460</v>
      </c>
      <c r="C441" t="s">
        <v>9</v>
      </c>
      <c r="D441" t="s">
        <v>10</v>
      </c>
      <c r="E441">
        <v>4</v>
      </c>
      <c r="F441">
        <v>20.7</v>
      </c>
      <c r="G441" t="s">
        <v>17</v>
      </c>
      <c r="H441" s="1">
        <v>45844.60601851852</v>
      </c>
    </row>
    <row r="442" spans="1:8" x14ac:dyDescent="0.25">
      <c r="A442">
        <v>9855</v>
      </c>
      <c r="B442" t="s">
        <v>461</v>
      </c>
      <c r="C442" t="s">
        <v>13</v>
      </c>
      <c r="D442" t="s">
        <v>14</v>
      </c>
      <c r="E442">
        <v>5</v>
      </c>
      <c r="F442">
        <v>3.58</v>
      </c>
      <c r="G442" t="s">
        <v>17</v>
      </c>
      <c r="H442" s="1">
        <v>45779.327164351853</v>
      </c>
    </row>
    <row r="443" spans="1:8" x14ac:dyDescent="0.25">
      <c r="A443">
        <v>4718</v>
      </c>
      <c r="B443" t="s">
        <v>462</v>
      </c>
      <c r="C443" t="s">
        <v>37</v>
      </c>
      <c r="D443" t="s">
        <v>10</v>
      </c>
      <c r="E443">
        <v>1</v>
      </c>
      <c r="F443">
        <v>5.1100000000000003</v>
      </c>
      <c r="G443" t="s">
        <v>17</v>
      </c>
      <c r="H443" s="1">
        <v>45775.148796296293</v>
      </c>
    </row>
    <row r="444" spans="1:8" x14ac:dyDescent="0.25">
      <c r="A444">
        <v>2144</v>
      </c>
      <c r="B444" t="s">
        <v>463</v>
      </c>
      <c r="C444" t="s">
        <v>28</v>
      </c>
      <c r="D444" t="s">
        <v>14</v>
      </c>
      <c r="E444">
        <v>5</v>
      </c>
      <c r="F444">
        <v>13.65</v>
      </c>
      <c r="G444" t="s">
        <v>11</v>
      </c>
      <c r="H444" s="1">
        <v>45848.139594907407</v>
      </c>
    </row>
    <row r="445" spans="1:8" x14ac:dyDescent="0.25">
      <c r="A445">
        <v>4700</v>
      </c>
      <c r="B445" t="s">
        <v>464</v>
      </c>
      <c r="C445" t="s">
        <v>37</v>
      </c>
      <c r="D445" t="s">
        <v>10</v>
      </c>
      <c r="E445">
        <v>4</v>
      </c>
      <c r="F445">
        <v>18.38</v>
      </c>
      <c r="G445" t="s">
        <v>19</v>
      </c>
      <c r="H445" s="1">
        <v>45859.920613425929</v>
      </c>
    </row>
    <row r="446" spans="1:8" x14ac:dyDescent="0.25">
      <c r="A446">
        <v>4013</v>
      </c>
      <c r="B446" t="s">
        <v>465</v>
      </c>
      <c r="C446" t="s">
        <v>37</v>
      </c>
      <c r="D446" t="s">
        <v>10</v>
      </c>
      <c r="E446">
        <v>4</v>
      </c>
      <c r="F446">
        <v>17.87</v>
      </c>
      <c r="G446" t="s">
        <v>15</v>
      </c>
      <c r="H446" s="1">
        <v>45802.601030092592</v>
      </c>
    </row>
    <row r="447" spans="1:8" x14ac:dyDescent="0.25">
      <c r="A447">
        <v>6920</v>
      </c>
      <c r="B447" t="s">
        <v>466</v>
      </c>
      <c r="C447" t="s">
        <v>35</v>
      </c>
      <c r="D447" t="s">
        <v>22</v>
      </c>
      <c r="E447">
        <v>3</v>
      </c>
      <c r="F447">
        <v>17.36</v>
      </c>
      <c r="G447" t="s">
        <v>11</v>
      </c>
      <c r="H447" s="1">
        <v>45815.471215277779</v>
      </c>
    </row>
    <row r="448" spans="1:8" x14ac:dyDescent="0.25">
      <c r="A448">
        <v>3164</v>
      </c>
      <c r="B448" t="s">
        <v>467</v>
      </c>
      <c r="C448" t="s">
        <v>33</v>
      </c>
      <c r="D448" t="s">
        <v>14</v>
      </c>
      <c r="E448">
        <v>3</v>
      </c>
      <c r="F448">
        <v>14.01</v>
      </c>
      <c r="G448" t="s">
        <v>15</v>
      </c>
      <c r="H448" s="1">
        <v>45781.144490740742</v>
      </c>
    </row>
    <row r="449" spans="1:8" x14ac:dyDescent="0.25">
      <c r="A449">
        <v>9913</v>
      </c>
      <c r="B449" t="s">
        <v>468</v>
      </c>
      <c r="C449" t="s">
        <v>35</v>
      </c>
      <c r="D449" t="s">
        <v>22</v>
      </c>
      <c r="E449">
        <v>2</v>
      </c>
      <c r="F449">
        <v>18.8</v>
      </c>
      <c r="G449" t="s">
        <v>15</v>
      </c>
      <c r="H449" s="1">
        <v>45777.211643518516</v>
      </c>
    </row>
    <row r="450" spans="1:8" x14ac:dyDescent="0.25">
      <c r="A450">
        <v>1402</v>
      </c>
      <c r="B450" t="s">
        <v>469</v>
      </c>
      <c r="C450" t="s">
        <v>13</v>
      </c>
      <c r="D450" t="s">
        <v>14</v>
      </c>
      <c r="E450">
        <v>4</v>
      </c>
      <c r="F450">
        <v>15.75</v>
      </c>
      <c r="G450" t="s">
        <v>17</v>
      </c>
      <c r="H450" s="1">
        <v>45728.588634259257</v>
      </c>
    </row>
    <row r="451" spans="1:8" x14ac:dyDescent="0.25">
      <c r="A451">
        <v>7920</v>
      </c>
      <c r="B451" t="s">
        <v>470</v>
      </c>
      <c r="C451" t="s">
        <v>21</v>
      </c>
      <c r="D451" t="s">
        <v>22</v>
      </c>
      <c r="E451">
        <v>1</v>
      </c>
      <c r="F451">
        <v>6.65</v>
      </c>
      <c r="G451" t="s">
        <v>15</v>
      </c>
      <c r="H451" s="1">
        <v>45822.837060185186</v>
      </c>
    </row>
    <row r="452" spans="1:8" x14ac:dyDescent="0.25">
      <c r="A452">
        <v>3680</v>
      </c>
      <c r="B452" t="s">
        <v>471</v>
      </c>
      <c r="C452" t="s">
        <v>13</v>
      </c>
      <c r="D452" t="s">
        <v>14</v>
      </c>
      <c r="E452">
        <v>4</v>
      </c>
      <c r="F452">
        <v>24.79</v>
      </c>
      <c r="G452" t="s">
        <v>11</v>
      </c>
      <c r="H452" s="1">
        <v>45799.82775462963</v>
      </c>
    </row>
    <row r="453" spans="1:8" x14ac:dyDescent="0.25">
      <c r="A453">
        <v>8767</v>
      </c>
      <c r="B453" t="s">
        <v>472</v>
      </c>
      <c r="C453" t="s">
        <v>37</v>
      </c>
      <c r="D453" t="s">
        <v>10</v>
      </c>
      <c r="E453">
        <v>2</v>
      </c>
      <c r="F453">
        <v>3.25</v>
      </c>
      <c r="G453" t="s">
        <v>11</v>
      </c>
      <c r="H453" s="1">
        <v>45810.959374999999</v>
      </c>
    </row>
    <row r="454" spans="1:8" x14ac:dyDescent="0.25">
      <c r="A454">
        <v>8243</v>
      </c>
      <c r="B454" t="s">
        <v>473</v>
      </c>
      <c r="C454" t="s">
        <v>35</v>
      </c>
      <c r="D454" t="s">
        <v>22</v>
      </c>
      <c r="E454">
        <v>4</v>
      </c>
      <c r="F454">
        <v>6.04</v>
      </c>
      <c r="G454" t="s">
        <v>15</v>
      </c>
      <c r="H454" s="1">
        <v>45881.993032407408</v>
      </c>
    </row>
    <row r="455" spans="1:8" x14ac:dyDescent="0.25">
      <c r="A455">
        <v>9450</v>
      </c>
      <c r="B455" t="s">
        <v>474</v>
      </c>
      <c r="C455" t="s">
        <v>40</v>
      </c>
      <c r="D455" t="s">
        <v>22</v>
      </c>
      <c r="E455">
        <v>3</v>
      </c>
      <c r="F455">
        <v>22.03</v>
      </c>
      <c r="G455" t="s">
        <v>19</v>
      </c>
      <c r="H455" s="1">
        <v>45852.538576388892</v>
      </c>
    </row>
    <row r="456" spans="1:8" x14ac:dyDescent="0.25">
      <c r="A456">
        <v>9927</v>
      </c>
      <c r="B456" t="s">
        <v>475</v>
      </c>
      <c r="C456" t="s">
        <v>9</v>
      </c>
      <c r="D456" t="s">
        <v>10</v>
      </c>
      <c r="E456">
        <v>2</v>
      </c>
      <c r="F456">
        <v>17.57</v>
      </c>
      <c r="G456" t="s">
        <v>15</v>
      </c>
      <c r="H456" s="1">
        <v>45740.871689814812</v>
      </c>
    </row>
    <row r="457" spans="1:8" x14ac:dyDescent="0.25">
      <c r="A457">
        <v>2141</v>
      </c>
      <c r="B457" t="s">
        <v>476</v>
      </c>
      <c r="C457" t="s">
        <v>37</v>
      </c>
      <c r="D457" t="s">
        <v>10</v>
      </c>
      <c r="E457">
        <v>3</v>
      </c>
      <c r="F457">
        <v>23.69</v>
      </c>
      <c r="G457" t="s">
        <v>15</v>
      </c>
      <c r="H457" s="1">
        <v>45825.488437499997</v>
      </c>
    </row>
    <row r="458" spans="1:8" x14ac:dyDescent="0.25">
      <c r="A458">
        <v>8174</v>
      </c>
      <c r="B458" t="s">
        <v>477</v>
      </c>
      <c r="C458" t="s">
        <v>9</v>
      </c>
      <c r="D458" t="s">
        <v>10</v>
      </c>
      <c r="E458">
        <v>2</v>
      </c>
      <c r="F458">
        <v>7.19</v>
      </c>
      <c r="G458" t="s">
        <v>17</v>
      </c>
      <c r="H458" s="1">
        <v>45753.241284722222</v>
      </c>
    </row>
    <row r="459" spans="1:8" x14ac:dyDescent="0.25">
      <c r="A459">
        <v>1595</v>
      </c>
      <c r="B459" t="s">
        <v>478</v>
      </c>
      <c r="C459" t="s">
        <v>28</v>
      </c>
      <c r="D459" t="s">
        <v>14</v>
      </c>
      <c r="E459">
        <v>5</v>
      </c>
      <c r="F459">
        <v>19.21</v>
      </c>
      <c r="G459" t="s">
        <v>11</v>
      </c>
      <c r="H459" s="1">
        <v>45774.338958333334</v>
      </c>
    </row>
    <row r="460" spans="1:8" x14ac:dyDescent="0.25">
      <c r="A460">
        <v>6626</v>
      </c>
      <c r="B460" t="s">
        <v>479</v>
      </c>
      <c r="C460" t="s">
        <v>40</v>
      </c>
      <c r="D460" t="s">
        <v>22</v>
      </c>
      <c r="E460">
        <v>1</v>
      </c>
      <c r="F460">
        <v>21.57</v>
      </c>
      <c r="G460" t="s">
        <v>11</v>
      </c>
      <c r="H460" s="1">
        <v>45767.582430555558</v>
      </c>
    </row>
    <row r="461" spans="1:8" x14ac:dyDescent="0.25">
      <c r="A461">
        <v>5816</v>
      </c>
      <c r="B461" t="s">
        <v>480</v>
      </c>
      <c r="C461" t="s">
        <v>35</v>
      </c>
      <c r="D461" t="s">
        <v>22</v>
      </c>
      <c r="E461">
        <v>2</v>
      </c>
      <c r="F461">
        <v>4.4000000000000004</v>
      </c>
      <c r="G461" t="s">
        <v>15</v>
      </c>
      <c r="H461" s="1">
        <v>45695.954375000001</v>
      </c>
    </row>
    <row r="462" spans="1:8" x14ac:dyDescent="0.25">
      <c r="A462">
        <v>8483</v>
      </c>
      <c r="B462" t="s">
        <v>481</v>
      </c>
      <c r="C462" t="s">
        <v>33</v>
      </c>
      <c r="D462" t="s">
        <v>14</v>
      </c>
      <c r="E462">
        <v>4</v>
      </c>
      <c r="F462">
        <v>16.21</v>
      </c>
      <c r="G462" t="s">
        <v>19</v>
      </c>
      <c r="H462" s="1">
        <v>45721.852731481478</v>
      </c>
    </row>
    <row r="463" spans="1:8" x14ac:dyDescent="0.25">
      <c r="A463">
        <v>4002</v>
      </c>
      <c r="B463" t="s">
        <v>482</v>
      </c>
      <c r="C463" t="s">
        <v>33</v>
      </c>
      <c r="D463" t="s">
        <v>14</v>
      </c>
      <c r="E463">
        <v>4</v>
      </c>
      <c r="F463">
        <v>12.85</v>
      </c>
      <c r="G463" t="s">
        <v>17</v>
      </c>
      <c r="H463" s="1">
        <v>45771.402800925927</v>
      </c>
    </row>
    <row r="464" spans="1:8" x14ac:dyDescent="0.25">
      <c r="A464">
        <v>9294</v>
      </c>
      <c r="B464" t="s">
        <v>483</v>
      </c>
      <c r="C464" t="s">
        <v>40</v>
      </c>
      <c r="D464" t="s">
        <v>22</v>
      </c>
      <c r="E464">
        <v>4</v>
      </c>
      <c r="F464">
        <v>17.29</v>
      </c>
      <c r="G464" t="s">
        <v>15</v>
      </c>
      <c r="H464" s="1">
        <v>45823.291631944441</v>
      </c>
    </row>
    <row r="465" spans="1:8" x14ac:dyDescent="0.25">
      <c r="A465">
        <v>8884</v>
      </c>
      <c r="B465" t="s">
        <v>484</v>
      </c>
      <c r="C465" t="s">
        <v>37</v>
      </c>
      <c r="D465" t="s">
        <v>10</v>
      </c>
      <c r="E465">
        <v>3</v>
      </c>
      <c r="F465">
        <v>9.64</v>
      </c>
      <c r="G465" t="s">
        <v>15</v>
      </c>
      <c r="H465" s="1">
        <v>45807.687638888892</v>
      </c>
    </row>
    <row r="466" spans="1:8" x14ac:dyDescent="0.25">
      <c r="A466">
        <v>4478</v>
      </c>
      <c r="B466" t="s">
        <v>485</v>
      </c>
      <c r="C466" t="s">
        <v>21</v>
      </c>
      <c r="D466" t="s">
        <v>22</v>
      </c>
      <c r="E466">
        <v>1</v>
      </c>
      <c r="F466">
        <v>12.99</v>
      </c>
      <c r="G466" t="s">
        <v>19</v>
      </c>
      <c r="H466" s="1">
        <v>45835.03230324074</v>
      </c>
    </row>
    <row r="467" spans="1:8" x14ac:dyDescent="0.25">
      <c r="A467">
        <v>8875</v>
      </c>
      <c r="B467" t="s">
        <v>486</v>
      </c>
      <c r="C467" t="s">
        <v>13</v>
      </c>
      <c r="D467" t="s">
        <v>14</v>
      </c>
      <c r="E467">
        <v>2</v>
      </c>
      <c r="F467">
        <v>20.3</v>
      </c>
      <c r="G467" t="s">
        <v>19</v>
      </c>
      <c r="H467" s="1">
        <v>45763.17460648148</v>
      </c>
    </row>
    <row r="468" spans="1:8" x14ac:dyDescent="0.25">
      <c r="A468">
        <v>3775</v>
      </c>
      <c r="B468" t="s">
        <v>487</v>
      </c>
      <c r="C468" t="s">
        <v>30</v>
      </c>
      <c r="D468" t="s">
        <v>10</v>
      </c>
      <c r="E468">
        <v>5</v>
      </c>
      <c r="F468">
        <v>14.54</v>
      </c>
      <c r="G468" t="s">
        <v>15</v>
      </c>
      <c r="H468" s="1">
        <v>45856.518136574072</v>
      </c>
    </row>
    <row r="469" spans="1:8" x14ac:dyDescent="0.25">
      <c r="A469">
        <v>6805</v>
      </c>
      <c r="B469" t="s">
        <v>488</v>
      </c>
      <c r="C469" t="s">
        <v>35</v>
      </c>
      <c r="D469" t="s">
        <v>22</v>
      </c>
      <c r="E469">
        <v>1</v>
      </c>
      <c r="F469">
        <v>16.32</v>
      </c>
      <c r="G469" t="s">
        <v>17</v>
      </c>
      <c r="H469" s="1">
        <v>45686.156921296293</v>
      </c>
    </row>
    <row r="470" spans="1:8" x14ac:dyDescent="0.25">
      <c r="A470">
        <v>8360</v>
      </c>
      <c r="B470" t="s">
        <v>489</v>
      </c>
      <c r="C470" t="s">
        <v>13</v>
      </c>
      <c r="D470" t="s">
        <v>14</v>
      </c>
      <c r="E470">
        <v>4</v>
      </c>
      <c r="F470">
        <v>19.7</v>
      </c>
      <c r="G470" t="s">
        <v>15</v>
      </c>
      <c r="H470" s="1">
        <v>45691.025833333333</v>
      </c>
    </row>
    <row r="471" spans="1:8" x14ac:dyDescent="0.25">
      <c r="A471">
        <v>1955</v>
      </c>
      <c r="B471" t="s">
        <v>490</v>
      </c>
      <c r="C471" t="s">
        <v>28</v>
      </c>
      <c r="D471" t="s">
        <v>14</v>
      </c>
      <c r="E471">
        <v>2</v>
      </c>
      <c r="F471">
        <v>8.64</v>
      </c>
      <c r="G471" t="s">
        <v>19</v>
      </c>
      <c r="H471" s="1">
        <v>45788.887928240743</v>
      </c>
    </row>
    <row r="472" spans="1:8" x14ac:dyDescent="0.25">
      <c r="A472">
        <v>5940</v>
      </c>
      <c r="B472" t="s">
        <v>491</v>
      </c>
      <c r="C472" t="s">
        <v>37</v>
      </c>
      <c r="D472" t="s">
        <v>10</v>
      </c>
      <c r="E472">
        <v>1</v>
      </c>
      <c r="F472">
        <v>13.85</v>
      </c>
      <c r="G472" t="s">
        <v>19</v>
      </c>
      <c r="H472" s="1">
        <v>45879.094895833332</v>
      </c>
    </row>
    <row r="473" spans="1:8" x14ac:dyDescent="0.25">
      <c r="A473">
        <v>4403</v>
      </c>
      <c r="B473" t="s">
        <v>492</v>
      </c>
      <c r="C473" t="s">
        <v>21</v>
      </c>
      <c r="D473" t="s">
        <v>22</v>
      </c>
      <c r="E473">
        <v>2</v>
      </c>
      <c r="F473">
        <v>24.01</v>
      </c>
      <c r="G473" t="s">
        <v>11</v>
      </c>
      <c r="H473" s="1">
        <v>45743.350254629629</v>
      </c>
    </row>
    <row r="474" spans="1:8" x14ac:dyDescent="0.25">
      <c r="A474">
        <v>2578</v>
      </c>
      <c r="B474" t="s">
        <v>493</v>
      </c>
      <c r="C474" t="s">
        <v>21</v>
      </c>
      <c r="D474" t="s">
        <v>22</v>
      </c>
      <c r="E474">
        <v>1</v>
      </c>
      <c r="F474">
        <v>24.64</v>
      </c>
      <c r="G474" t="s">
        <v>11</v>
      </c>
      <c r="H474" s="1">
        <v>45693.026018518518</v>
      </c>
    </row>
    <row r="475" spans="1:8" x14ac:dyDescent="0.25">
      <c r="A475">
        <v>9772</v>
      </c>
      <c r="B475" t="s">
        <v>494</v>
      </c>
      <c r="C475" t="s">
        <v>13</v>
      </c>
      <c r="D475" t="s">
        <v>14</v>
      </c>
      <c r="E475">
        <v>5</v>
      </c>
      <c r="F475">
        <v>2.81</v>
      </c>
      <c r="G475" t="s">
        <v>15</v>
      </c>
      <c r="H475" s="1">
        <v>45767.784479166665</v>
      </c>
    </row>
    <row r="476" spans="1:8" x14ac:dyDescent="0.25">
      <c r="A476">
        <v>1326</v>
      </c>
      <c r="B476" t="s">
        <v>495</v>
      </c>
      <c r="C476" t="s">
        <v>37</v>
      </c>
      <c r="D476" t="s">
        <v>10</v>
      </c>
      <c r="E476">
        <v>3</v>
      </c>
      <c r="F476">
        <v>21.3</v>
      </c>
      <c r="G476" t="s">
        <v>19</v>
      </c>
      <c r="H476" s="1">
        <v>45747.831944444442</v>
      </c>
    </row>
    <row r="477" spans="1:8" x14ac:dyDescent="0.25">
      <c r="A477">
        <v>2047</v>
      </c>
      <c r="B477" t="s">
        <v>496</v>
      </c>
      <c r="C477" t="s">
        <v>33</v>
      </c>
      <c r="D477" t="s">
        <v>14</v>
      </c>
      <c r="E477">
        <v>2</v>
      </c>
      <c r="F477">
        <v>4.24</v>
      </c>
      <c r="G477" t="s">
        <v>17</v>
      </c>
      <c r="H477" s="1">
        <v>45782.179479166669</v>
      </c>
    </row>
    <row r="478" spans="1:8" x14ac:dyDescent="0.25">
      <c r="A478">
        <v>5946</v>
      </c>
      <c r="B478" t="s">
        <v>497</v>
      </c>
      <c r="C478" t="s">
        <v>33</v>
      </c>
      <c r="D478" t="s">
        <v>14</v>
      </c>
      <c r="E478">
        <v>1</v>
      </c>
      <c r="F478">
        <v>12.57</v>
      </c>
      <c r="G478" t="s">
        <v>17</v>
      </c>
      <c r="H478" s="1">
        <v>45699.078148148146</v>
      </c>
    </row>
    <row r="479" spans="1:8" x14ac:dyDescent="0.25">
      <c r="A479">
        <v>6314</v>
      </c>
      <c r="B479" t="s">
        <v>498</v>
      </c>
      <c r="C479" t="s">
        <v>30</v>
      </c>
      <c r="D479" t="s">
        <v>10</v>
      </c>
      <c r="E479">
        <v>4</v>
      </c>
      <c r="F479">
        <v>9.64</v>
      </c>
      <c r="G479" t="s">
        <v>11</v>
      </c>
      <c r="H479" s="1">
        <v>45794.05978009259</v>
      </c>
    </row>
    <row r="480" spans="1:8" x14ac:dyDescent="0.25">
      <c r="A480">
        <v>6686</v>
      </c>
      <c r="B480" t="s">
        <v>499</v>
      </c>
      <c r="C480" t="s">
        <v>30</v>
      </c>
      <c r="D480" t="s">
        <v>10</v>
      </c>
      <c r="E480">
        <v>2</v>
      </c>
      <c r="F480">
        <v>6.44</v>
      </c>
      <c r="G480" t="s">
        <v>15</v>
      </c>
      <c r="H480" s="1">
        <v>45873.305775462963</v>
      </c>
    </row>
    <row r="481" spans="1:8" x14ac:dyDescent="0.25">
      <c r="A481">
        <v>1439</v>
      </c>
      <c r="B481" t="s">
        <v>500</v>
      </c>
      <c r="C481" t="s">
        <v>13</v>
      </c>
      <c r="D481" t="s">
        <v>14</v>
      </c>
      <c r="E481">
        <v>5</v>
      </c>
      <c r="F481">
        <v>7.94</v>
      </c>
      <c r="G481" t="s">
        <v>15</v>
      </c>
      <c r="H481" s="1">
        <v>45761.101979166669</v>
      </c>
    </row>
    <row r="482" spans="1:8" x14ac:dyDescent="0.25">
      <c r="A482">
        <v>9936</v>
      </c>
      <c r="B482" t="s">
        <v>501</v>
      </c>
      <c r="C482" t="s">
        <v>40</v>
      </c>
      <c r="D482" t="s">
        <v>22</v>
      </c>
      <c r="E482">
        <v>2</v>
      </c>
      <c r="F482">
        <v>15.76</v>
      </c>
      <c r="G482" t="s">
        <v>17</v>
      </c>
      <c r="H482" s="1">
        <v>45712.055289351854</v>
      </c>
    </row>
    <row r="483" spans="1:8" x14ac:dyDescent="0.25">
      <c r="A483">
        <v>3280</v>
      </c>
      <c r="B483" t="s">
        <v>502</v>
      </c>
      <c r="C483" t="s">
        <v>33</v>
      </c>
      <c r="D483" t="s">
        <v>14</v>
      </c>
      <c r="E483">
        <v>4</v>
      </c>
      <c r="F483">
        <v>2.06</v>
      </c>
      <c r="G483" t="s">
        <v>11</v>
      </c>
      <c r="H483" s="1">
        <v>45765.081296296295</v>
      </c>
    </row>
    <row r="484" spans="1:8" x14ac:dyDescent="0.25">
      <c r="A484">
        <v>9997</v>
      </c>
      <c r="B484" t="s">
        <v>503</v>
      </c>
      <c r="C484" t="s">
        <v>21</v>
      </c>
      <c r="D484" t="s">
        <v>22</v>
      </c>
      <c r="E484">
        <v>1</v>
      </c>
      <c r="F484">
        <v>4.58</v>
      </c>
      <c r="G484" t="s">
        <v>15</v>
      </c>
      <c r="H484" s="1">
        <v>45668.016458333332</v>
      </c>
    </row>
    <row r="485" spans="1:8" x14ac:dyDescent="0.25">
      <c r="A485">
        <v>5387</v>
      </c>
      <c r="B485" t="s">
        <v>504</v>
      </c>
      <c r="C485" t="s">
        <v>21</v>
      </c>
      <c r="D485" t="s">
        <v>22</v>
      </c>
      <c r="E485">
        <v>1</v>
      </c>
      <c r="F485">
        <v>16.579999999999998</v>
      </c>
      <c r="G485" t="s">
        <v>11</v>
      </c>
      <c r="H485" s="1">
        <v>45767.10392361111</v>
      </c>
    </row>
    <row r="486" spans="1:8" x14ac:dyDescent="0.25">
      <c r="A486">
        <v>5318</v>
      </c>
      <c r="B486" t="s">
        <v>505</v>
      </c>
      <c r="C486" t="s">
        <v>30</v>
      </c>
      <c r="D486" t="s">
        <v>10</v>
      </c>
      <c r="E486">
        <v>5</v>
      </c>
      <c r="F486">
        <v>2.15</v>
      </c>
      <c r="G486" t="s">
        <v>17</v>
      </c>
      <c r="H486" s="1">
        <v>45818.565023148149</v>
      </c>
    </row>
    <row r="487" spans="1:8" x14ac:dyDescent="0.25">
      <c r="A487">
        <v>2035</v>
      </c>
      <c r="B487" t="s">
        <v>506</v>
      </c>
      <c r="C487" t="s">
        <v>9</v>
      </c>
      <c r="D487" t="s">
        <v>10</v>
      </c>
      <c r="E487">
        <v>5</v>
      </c>
      <c r="F487">
        <v>12.83</v>
      </c>
      <c r="G487" t="s">
        <v>17</v>
      </c>
      <c r="H487" s="1">
        <v>45722.148796296293</v>
      </c>
    </row>
    <row r="488" spans="1:8" x14ac:dyDescent="0.25">
      <c r="A488">
        <v>6151</v>
      </c>
      <c r="B488" t="s">
        <v>507</v>
      </c>
      <c r="C488" t="s">
        <v>33</v>
      </c>
      <c r="D488" t="s">
        <v>14</v>
      </c>
      <c r="E488">
        <v>2</v>
      </c>
      <c r="F488">
        <v>13.64</v>
      </c>
      <c r="G488" t="s">
        <v>19</v>
      </c>
      <c r="H488" s="1">
        <v>45857.128449074073</v>
      </c>
    </row>
    <row r="489" spans="1:8" x14ac:dyDescent="0.25">
      <c r="A489">
        <v>9414</v>
      </c>
      <c r="B489" t="s">
        <v>508</v>
      </c>
      <c r="C489" t="s">
        <v>35</v>
      </c>
      <c r="D489" t="s">
        <v>22</v>
      </c>
      <c r="E489">
        <v>4</v>
      </c>
      <c r="F489">
        <v>15.55</v>
      </c>
      <c r="G489" t="s">
        <v>11</v>
      </c>
      <c r="H489" s="1">
        <v>45882.660358796296</v>
      </c>
    </row>
    <row r="490" spans="1:8" x14ac:dyDescent="0.25">
      <c r="A490">
        <v>6635</v>
      </c>
      <c r="B490" t="s">
        <v>509</v>
      </c>
      <c r="C490" t="s">
        <v>37</v>
      </c>
      <c r="D490" t="s">
        <v>10</v>
      </c>
      <c r="E490">
        <v>4</v>
      </c>
      <c r="F490">
        <v>21.66</v>
      </c>
      <c r="G490" t="s">
        <v>17</v>
      </c>
      <c r="H490" s="1">
        <v>45850.396412037036</v>
      </c>
    </row>
    <row r="491" spans="1:8" x14ac:dyDescent="0.25">
      <c r="A491">
        <v>6244</v>
      </c>
      <c r="B491" t="s">
        <v>510</v>
      </c>
      <c r="C491" t="s">
        <v>30</v>
      </c>
      <c r="D491" t="s">
        <v>10</v>
      </c>
      <c r="E491">
        <v>1</v>
      </c>
      <c r="F491">
        <v>5.86</v>
      </c>
      <c r="G491" t="s">
        <v>15</v>
      </c>
      <c r="H491" s="1">
        <v>45833.761736111112</v>
      </c>
    </row>
    <row r="492" spans="1:8" x14ac:dyDescent="0.25">
      <c r="A492">
        <v>2902</v>
      </c>
      <c r="B492" t="s">
        <v>511</v>
      </c>
      <c r="C492" t="s">
        <v>13</v>
      </c>
      <c r="D492" t="s">
        <v>14</v>
      </c>
      <c r="E492">
        <v>4</v>
      </c>
      <c r="F492">
        <v>20.260000000000002</v>
      </c>
      <c r="G492" t="s">
        <v>17</v>
      </c>
      <c r="H492" s="1">
        <v>45841.845393518517</v>
      </c>
    </row>
    <row r="493" spans="1:8" x14ac:dyDescent="0.25">
      <c r="A493">
        <v>8786</v>
      </c>
      <c r="B493" t="s">
        <v>512</v>
      </c>
      <c r="C493" t="s">
        <v>33</v>
      </c>
      <c r="D493" t="s">
        <v>14</v>
      </c>
      <c r="E493">
        <v>2</v>
      </c>
      <c r="F493">
        <v>2.27</v>
      </c>
      <c r="G493" t="s">
        <v>15</v>
      </c>
      <c r="H493" s="1">
        <v>45823.723194444443</v>
      </c>
    </row>
    <row r="494" spans="1:8" x14ac:dyDescent="0.25">
      <c r="A494">
        <v>2814</v>
      </c>
      <c r="B494" t="s">
        <v>513</v>
      </c>
      <c r="C494" t="s">
        <v>37</v>
      </c>
      <c r="D494" t="s">
        <v>10</v>
      </c>
      <c r="E494">
        <v>1</v>
      </c>
      <c r="F494">
        <v>8.5</v>
      </c>
      <c r="G494" t="s">
        <v>15</v>
      </c>
      <c r="H494" s="1">
        <v>45667.965613425928</v>
      </c>
    </row>
    <row r="495" spans="1:8" x14ac:dyDescent="0.25">
      <c r="A495">
        <v>5227</v>
      </c>
      <c r="B495" t="s">
        <v>514</v>
      </c>
      <c r="C495" t="s">
        <v>21</v>
      </c>
      <c r="D495" t="s">
        <v>22</v>
      </c>
      <c r="E495">
        <v>4</v>
      </c>
      <c r="F495">
        <v>13.64</v>
      </c>
      <c r="G495" t="s">
        <v>19</v>
      </c>
      <c r="H495" s="1">
        <v>45700.759189814817</v>
      </c>
    </row>
    <row r="496" spans="1:8" x14ac:dyDescent="0.25">
      <c r="A496">
        <v>6096</v>
      </c>
      <c r="B496" t="s">
        <v>515</v>
      </c>
      <c r="C496" t="s">
        <v>13</v>
      </c>
      <c r="D496" t="s">
        <v>14</v>
      </c>
      <c r="E496">
        <v>1</v>
      </c>
      <c r="F496">
        <v>2.59</v>
      </c>
      <c r="G496" t="s">
        <v>19</v>
      </c>
      <c r="H496" s="1">
        <v>45847.369629629633</v>
      </c>
    </row>
    <row r="497" spans="1:8" x14ac:dyDescent="0.25">
      <c r="A497">
        <v>6323</v>
      </c>
      <c r="B497" t="s">
        <v>516</v>
      </c>
      <c r="C497" t="s">
        <v>37</v>
      </c>
      <c r="D497" t="s">
        <v>10</v>
      </c>
      <c r="E497">
        <v>1</v>
      </c>
      <c r="F497">
        <v>21.31</v>
      </c>
      <c r="G497" t="s">
        <v>11</v>
      </c>
      <c r="H497" s="1">
        <v>45672.806273148148</v>
      </c>
    </row>
    <row r="498" spans="1:8" x14ac:dyDescent="0.25">
      <c r="A498">
        <v>9836</v>
      </c>
      <c r="B498" t="s">
        <v>517</v>
      </c>
      <c r="C498" t="s">
        <v>21</v>
      </c>
      <c r="D498" t="s">
        <v>22</v>
      </c>
      <c r="E498">
        <v>3</v>
      </c>
      <c r="F498">
        <v>15.99</v>
      </c>
      <c r="G498" t="s">
        <v>15</v>
      </c>
      <c r="H498" s="1">
        <v>45853.625219907408</v>
      </c>
    </row>
    <row r="499" spans="1:8" x14ac:dyDescent="0.25">
      <c r="A499">
        <v>1202</v>
      </c>
      <c r="B499" t="s">
        <v>518</v>
      </c>
      <c r="C499" t="s">
        <v>9</v>
      </c>
      <c r="D499" t="s">
        <v>10</v>
      </c>
      <c r="E499">
        <v>2</v>
      </c>
      <c r="F499">
        <v>8.5399999999999991</v>
      </c>
      <c r="G499" t="s">
        <v>17</v>
      </c>
      <c r="H499" s="1">
        <v>45872.991296296299</v>
      </c>
    </row>
    <row r="500" spans="1:8" x14ac:dyDescent="0.25">
      <c r="A500">
        <v>7876</v>
      </c>
      <c r="B500" t="s">
        <v>519</v>
      </c>
      <c r="C500" t="s">
        <v>21</v>
      </c>
      <c r="D500" t="s">
        <v>22</v>
      </c>
      <c r="E500">
        <v>5</v>
      </c>
      <c r="F500">
        <v>20.54</v>
      </c>
      <c r="G500" t="s">
        <v>17</v>
      </c>
      <c r="H500" s="1">
        <v>45861.34034722222</v>
      </c>
    </row>
    <row r="501" spans="1:8" x14ac:dyDescent="0.25">
      <c r="A501">
        <v>1509</v>
      </c>
      <c r="B501" t="s">
        <v>520</v>
      </c>
      <c r="C501" t="s">
        <v>33</v>
      </c>
      <c r="D501" t="s">
        <v>14</v>
      </c>
      <c r="E501">
        <v>2</v>
      </c>
      <c r="F501">
        <v>18.86</v>
      </c>
      <c r="G501" t="s">
        <v>19</v>
      </c>
      <c r="H501" s="1">
        <v>45878.216284722221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01"/>
  <sheetViews>
    <sheetView workbookViewId="0">
      <pane ySplit="1" topLeftCell="A2" activePane="bottomLeft" state="frozen"/>
      <selection pane="bottomLeft" activeCell="I18" sqref="A2:S501"/>
    </sheetView>
  </sheetViews>
  <sheetFormatPr defaultRowHeight="15" x14ac:dyDescent="0.25"/>
  <cols>
    <col min="1" max="1" width="10.5703125" customWidth="1"/>
    <col min="2" max="2" width="21.85546875" bestFit="1" customWidth="1"/>
    <col min="3" max="3" width="12.140625" customWidth="1"/>
    <col min="4" max="4" width="11" customWidth="1"/>
    <col min="5" max="5" width="10.85546875" customWidth="1"/>
    <col min="6" max="6" width="7.5703125" style="4" customWidth="1"/>
    <col min="7" max="7" width="16.140625" style="4" bestFit="1" customWidth="1"/>
    <col min="8" max="8" width="7" style="4" customWidth="1"/>
    <col min="9" max="9" width="12.5703125" customWidth="1"/>
    <col min="10" max="10" width="8.140625" customWidth="1"/>
    <col min="11" max="11" width="15.42578125" customWidth="1"/>
    <col min="12" max="12" width="18.5703125" customWidth="1"/>
    <col min="13" max="13" width="14.85546875" style="2" bestFit="1" customWidth="1"/>
    <col min="14" max="14" width="14.85546875" style="3" bestFit="1" customWidth="1"/>
    <col min="18" max="18" width="11.7109375" bestFit="1" customWidth="1"/>
    <col min="19" max="19" width="13.85546875" customWidth="1"/>
  </cols>
  <sheetData>
    <row r="1" spans="1:19" x14ac:dyDescent="0.25">
      <c r="A1" t="s">
        <v>0</v>
      </c>
      <c r="B1" t="s">
        <v>1</v>
      </c>
      <c r="C1" t="s">
        <v>2</v>
      </c>
      <c r="D1" t="s">
        <v>3</v>
      </c>
      <c r="E1" t="s">
        <v>4</v>
      </c>
      <c r="F1" s="4" t="s">
        <v>5</v>
      </c>
      <c r="G1" s="4" t="s">
        <v>552</v>
      </c>
      <c r="H1" s="4" t="s">
        <v>540</v>
      </c>
      <c r="I1" t="s">
        <v>522</v>
      </c>
      <c r="J1" s="4" t="s">
        <v>541</v>
      </c>
      <c r="K1" s="4" t="s">
        <v>551</v>
      </c>
      <c r="L1" t="s">
        <v>6</v>
      </c>
      <c r="M1" s="2" t="s">
        <v>521</v>
      </c>
      <c r="N1" s="3" t="s">
        <v>7</v>
      </c>
      <c r="O1" t="s">
        <v>523</v>
      </c>
      <c r="P1" t="s">
        <v>524</v>
      </c>
      <c r="Q1" t="s">
        <v>553</v>
      </c>
      <c r="R1" t="s">
        <v>526</v>
      </c>
      <c r="S1" t="s">
        <v>525</v>
      </c>
    </row>
    <row r="2" spans="1:19" x14ac:dyDescent="0.25">
      <c r="A2">
        <v>1329</v>
      </c>
      <c r="B2" t="s">
        <v>237</v>
      </c>
      <c r="C2" t="s">
        <v>30</v>
      </c>
      <c r="D2" t="s">
        <v>10</v>
      </c>
      <c r="E2">
        <v>1</v>
      </c>
      <c r="F2" s="4">
        <v>20.63</v>
      </c>
      <c r="G2" s="4" t="str">
        <f t="shared" ref="G2:G65" si="0">IF(F2&lt;10,"Budget",IF(F2&lt;20,"Mid-Range","Premium"))</f>
        <v>Premium</v>
      </c>
      <c r="H2" s="4">
        <f>60% * F2</f>
        <v>12.377999999999998</v>
      </c>
      <c r="I2">
        <f t="shared" ref="I2:I65" si="1">E2 * F2</f>
        <v>20.63</v>
      </c>
      <c r="J2" s="4">
        <f>I2 - H2</f>
        <v>8.2520000000000007</v>
      </c>
      <c r="K2" s="8">
        <f>J2 / I2</f>
        <v>0.40000000000000008</v>
      </c>
      <c r="L2" t="s">
        <v>11</v>
      </c>
      <c r="M2" s="2">
        <v>45658.066863425927</v>
      </c>
      <c r="N2" s="3">
        <v>45658.066863425927</v>
      </c>
      <c r="O2" t="str">
        <f t="shared" ref="O2:O65" si="2">TEXT(N2,"MMM")</f>
        <v>Jan</v>
      </c>
      <c r="P2" t="str">
        <f t="shared" ref="P2:P65" si="3">TEXT(M2, "DDD")</f>
        <v>Wed</v>
      </c>
      <c r="Q2" t="str">
        <f t="shared" ref="Q2:Q65" si="4">IF(OR(P2="Fri",P2="Sat"),"Weekend","Weekday")</f>
        <v>Weekday</v>
      </c>
      <c r="R2">
        <f t="shared" ref="R2:R65" si="5">HOUR(N2)</f>
        <v>1</v>
      </c>
      <c r="S2" t="s">
        <v>527</v>
      </c>
    </row>
    <row r="3" spans="1:19" x14ac:dyDescent="0.25">
      <c r="A3">
        <v>2065</v>
      </c>
      <c r="B3" t="s">
        <v>430</v>
      </c>
      <c r="C3" t="s">
        <v>30</v>
      </c>
      <c r="D3" t="s">
        <v>10</v>
      </c>
      <c r="E3">
        <v>4</v>
      </c>
      <c r="F3" s="4">
        <v>19.86</v>
      </c>
      <c r="G3" s="4" t="str">
        <f t="shared" si="0"/>
        <v>Mid-Range</v>
      </c>
      <c r="H3" s="4">
        <f t="shared" ref="H3:H66" si="6">60% * F3</f>
        <v>11.915999999999999</v>
      </c>
      <c r="I3">
        <f t="shared" si="1"/>
        <v>79.44</v>
      </c>
      <c r="J3" s="4">
        <f t="shared" ref="J3:J66" si="7">I3 - H3</f>
        <v>67.524000000000001</v>
      </c>
      <c r="K3" s="8">
        <f t="shared" ref="K3:K66" si="8">J3 / I3</f>
        <v>0.85000000000000009</v>
      </c>
      <c r="L3" t="s">
        <v>19</v>
      </c>
      <c r="M3" s="2">
        <v>45659.441840277781</v>
      </c>
      <c r="N3" s="3">
        <v>45659.441840277781</v>
      </c>
      <c r="O3" t="str">
        <f t="shared" si="2"/>
        <v>Jan</v>
      </c>
      <c r="P3" t="str">
        <f t="shared" si="3"/>
        <v>Thu</v>
      </c>
      <c r="Q3" t="str">
        <f>IF(OR(P3="Fri",P3="Sat"),"Weekend","Weekday")</f>
        <v>Weekday</v>
      </c>
      <c r="R3">
        <f t="shared" si="5"/>
        <v>10</v>
      </c>
      <c r="S3" t="s">
        <v>527</v>
      </c>
    </row>
    <row r="4" spans="1:19" x14ac:dyDescent="0.25">
      <c r="A4">
        <v>1489</v>
      </c>
      <c r="B4" t="s">
        <v>454</v>
      </c>
      <c r="C4" t="s">
        <v>33</v>
      </c>
      <c r="D4" t="s">
        <v>14</v>
      </c>
      <c r="E4">
        <v>4</v>
      </c>
      <c r="F4" s="4">
        <v>10</v>
      </c>
      <c r="G4" s="4" t="str">
        <f t="shared" si="0"/>
        <v>Mid-Range</v>
      </c>
      <c r="H4" s="4">
        <f t="shared" si="6"/>
        <v>6</v>
      </c>
      <c r="I4">
        <f t="shared" si="1"/>
        <v>40</v>
      </c>
      <c r="J4" s="4">
        <f t="shared" si="7"/>
        <v>34</v>
      </c>
      <c r="K4" s="8">
        <f t="shared" si="8"/>
        <v>0.85</v>
      </c>
      <c r="L4" t="s">
        <v>11</v>
      </c>
      <c r="M4" s="2">
        <v>45659.657569444447</v>
      </c>
      <c r="N4" s="3">
        <v>45659.657569444447</v>
      </c>
      <c r="O4" t="str">
        <f t="shared" si="2"/>
        <v>Jan</v>
      </c>
      <c r="P4" t="str">
        <f t="shared" si="3"/>
        <v>Thu</v>
      </c>
      <c r="Q4" t="str">
        <f t="shared" si="4"/>
        <v>Weekday</v>
      </c>
      <c r="R4">
        <f t="shared" si="5"/>
        <v>15</v>
      </c>
      <c r="S4" t="s">
        <v>528</v>
      </c>
    </row>
    <row r="5" spans="1:19" x14ac:dyDescent="0.25">
      <c r="A5">
        <v>4212</v>
      </c>
      <c r="B5" t="s">
        <v>208</v>
      </c>
      <c r="C5" t="s">
        <v>35</v>
      </c>
      <c r="D5" t="s">
        <v>22</v>
      </c>
      <c r="E5">
        <v>5</v>
      </c>
      <c r="F5" s="4">
        <v>15.29</v>
      </c>
      <c r="G5" s="4" t="str">
        <f t="shared" si="0"/>
        <v>Mid-Range</v>
      </c>
      <c r="H5" s="4">
        <f t="shared" si="6"/>
        <v>9.1739999999999995</v>
      </c>
      <c r="I5">
        <f t="shared" si="1"/>
        <v>76.449999999999989</v>
      </c>
      <c r="J5" s="4">
        <f t="shared" si="7"/>
        <v>67.275999999999982</v>
      </c>
      <c r="K5" s="8">
        <f t="shared" si="8"/>
        <v>0.87999999999999989</v>
      </c>
      <c r="L5" t="s">
        <v>15</v>
      </c>
      <c r="M5" s="2">
        <v>45659.659548611111</v>
      </c>
      <c r="N5" s="3">
        <v>45659.659548611111</v>
      </c>
      <c r="O5" t="str">
        <f t="shared" si="2"/>
        <v>Jan</v>
      </c>
      <c r="P5" t="str">
        <f t="shared" si="3"/>
        <v>Thu</v>
      </c>
      <c r="Q5" t="str">
        <f t="shared" si="4"/>
        <v>Weekday</v>
      </c>
      <c r="R5">
        <f t="shared" si="5"/>
        <v>15</v>
      </c>
      <c r="S5" t="s">
        <v>528</v>
      </c>
    </row>
    <row r="6" spans="1:19" x14ac:dyDescent="0.25">
      <c r="A6">
        <v>4811</v>
      </c>
      <c r="B6" t="s">
        <v>179</v>
      </c>
      <c r="C6" t="s">
        <v>40</v>
      </c>
      <c r="D6" t="s">
        <v>22</v>
      </c>
      <c r="E6">
        <v>5</v>
      </c>
      <c r="F6" s="4">
        <v>8.06</v>
      </c>
      <c r="G6" s="4" t="str">
        <f t="shared" si="0"/>
        <v>Budget</v>
      </c>
      <c r="H6" s="4">
        <f t="shared" si="6"/>
        <v>4.8360000000000003</v>
      </c>
      <c r="I6">
        <f t="shared" si="1"/>
        <v>40.300000000000004</v>
      </c>
      <c r="J6" s="4">
        <f t="shared" si="7"/>
        <v>35.464000000000006</v>
      </c>
      <c r="K6" s="8">
        <f t="shared" si="8"/>
        <v>0.88</v>
      </c>
      <c r="L6" t="s">
        <v>11</v>
      </c>
      <c r="M6" s="2">
        <v>45660.254814814813</v>
      </c>
      <c r="N6" s="3">
        <v>45660.254814814813</v>
      </c>
      <c r="O6" t="str">
        <f t="shared" si="2"/>
        <v>Jan</v>
      </c>
      <c r="P6" t="str">
        <f t="shared" si="3"/>
        <v>Fri</v>
      </c>
      <c r="Q6" t="str">
        <f t="shared" si="4"/>
        <v>Weekend</v>
      </c>
      <c r="R6">
        <f t="shared" si="5"/>
        <v>6</v>
      </c>
      <c r="S6" t="s">
        <v>527</v>
      </c>
    </row>
    <row r="7" spans="1:19" x14ac:dyDescent="0.25">
      <c r="A7">
        <v>2391</v>
      </c>
      <c r="B7" t="s">
        <v>366</v>
      </c>
      <c r="C7" t="s">
        <v>40</v>
      </c>
      <c r="D7" t="s">
        <v>22</v>
      </c>
      <c r="E7">
        <v>1</v>
      </c>
      <c r="F7" s="4">
        <v>9.02</v>
      </c>
      <c r="G7" s="4" t="str">
        <f t="shared" si="0"/>
        <v>Budget</v>
      </c>
      <c r="H7" s="4">
        <f t="shared" si="6"/>
        <v>5.4119999999999999</v>
      </c>
      <c r="I7">
        <f t="shared" si="1"/>
        <v>9.02</v>
      </c>
      <c r="J7" s="4">
        <f t="shared" si="7"/>
        <v>3.6079999999999997</v>
      </c>
      <c r="K7" s="8">
        <f t="shared" si="8"/>
        <v>0.39999999999999997</v>
      </c>
      <c r="L7" t="s">
        <v>15</v>
      </c>
      <c r="M7" s="2">
        <v>45661.048090277778</v>
      </c>
      <c r="N7" s="3">
        <v>45661.048090277778</v>
      </c>
      <c r="O7" t="str">
        <f t="shared" si="2"/>
        <v>Jan</v>
      </c>
      <c r="P7" t="str">
        <f t="shared" si="3"/>
        <v>Sat</v>
      </c>
      <c r="Q7" t="str">
        <f t="shared" si="4"/>
        <v>Weekend</v>
      </c>
      <c r="R7">
        <f t="shared" si="5"/>
        <v>1</v>
      </c>
      <c r="S7" t="s">
        <v>527</v>
      </c>
    </row>
    <row r="8" spans="1:19" x14ac:dyDescent="0.25">
      <c r="A8">
        <v>7960</v>
      </c>
      <c r="B8" t="s">
        <v>235</v>
      </c>
      <c r="C8" t="s">
        <v>28</v>
      </c>
      <c r="D8" t="s">
        <v>14</v>
      </c>
      <c r="E8">
        <v>3</v>
      </c>
      <c r="F8" s="4">
        <v>5.09</v>
      </c>
      <c r="G8" s="4" t="str">
        <f t="shared" si="0"/>
        <v>Budget</v>
      </c>
      <c r="H8" s="4">
        <f t="shared" si="6"/>
        <v>3.0539999999999998</v>
      </c>
      <c r="I8">
        <f t="shared" si="1"/>
        <v>15.27</v>
      </c>
      <c r="J8" s="4">
        <f t="shared" si="7"/>
        <v>12.215999999999999</v>
      </c>
      <c r="K8" s="8">
        <f t="shared" si="8"/>
        <v>0.79999999999999993</v>
      </c>
      <c r="L8" t="s">
        <v>11</v>
      </c>
      <c r="M8" s="2">
        <v>45661.283391203702</v>
      </c>
      <c r="N8" s="3">
        <v>45661.283391203702</v>
      </c>
      <c r="O8" t="str">
        <f t="shared" si="2"/>
        <v>Jan</v>
      </c>
      <c r="P8" t="str">
        <f t="shared" si="3"/>
        <v>Sat</v>
      </c>
      <c r="Q8" t="str">
        <f t="shared" si="4"/>
        <v>Weekend</v>
      </c>
      <c r="R8">
        <f t="shared" si="5"/>
        <v>6</v>
      </c>
      <c r="S8" t="s">
        <v>527</v>
      </c>
    </row>
    <row r="9" spans="1:19" x14ac:dyDescent="0.25">
      <c r="A9">
        <v>9126</v>
      </c>
      <c r="B9" t="s">
        <v>143</v>
      </c>
      <c r="C9" t="s">
        <v>13</v>
      </c>
      <c r="D9" t="s">
        <v>14</v>
      </c>
      <c r="E9">
        <v>5</v>
      </c>
      <c r="F9" s="4">
        <v>23.28</v>
      </c>
      <c r="G9" s="4" t="str">
        <f t="shared" si="0"/>
        <v>Premium</v>
      </c>
      <c r="H9" s="4">
        <f t="shared" si="6"/>
        <v>13.968</v>
      </c>
      <c r="I9">
        <f t="shared" si="1"/>
        <v>116.4</v>
      </c>
      <c r="J9" s="4">
        <f t="shared" si="7"/>
        <v>102.432</v>
      </c>
      <c r="K9" s="8">
        <f t="shared" si="8"/>
        <v>0.88</v>
      </c>
      <c r="L9" t="s">
        <v>17</v>
      </c>
      <c r="M9" s="2">
        <v>45662.271724537037</v>
      </c>
      <c r="N9" s="3">
        <v>45662.271724537037</v>
      </c>
      <c r="O9" t="str">
        <f t="shared" si="2"/>
        <v>Jan</v>
      </c>
      <c r="P9" t="str">
        <f t="shared" si="3"/>
        <v>Sun</v>
      </c>
      <c r="Q9" t="str">
        <f t="shared" si="4"/>
        <v>Weekday</v>
      </c>
      <c r="R9">
        <f t="shared" si="5"/>
        <v>6</v>
      </c>
      <c r="S9" t="s">
        <v>527</v>
      </c>
    </row>
    <row r="10" spans="1:19" x14ac:dyDescent="0.25">
      <c r="A10">
        <v>5359</v>
      </c>
      <c r="B10" t="s">
        <v>232</v>
      </c>
      <c r="C10" t="s">
        <v>33</v>
      </c>
      <c r="D10" t="s">
        <v>14</v>
      </c>
      <c r="E10">
        <v>5</v>
      </c>
      <c r="F10" s="4">
        <v>19.48</v>
      </c>
      <c r="G10" s="4" t="str">
        <f t="shared" si="0"/>
        <v>Mid-Range</v>
      </c>
      <c r="H10" s="4">
        <f t="shared" si="6"/>
        <v>11.688000000000001</v>
      </c>
      <c r="I10">
        <f t="shared" si="1"/>
        <v>97.4</v>
      </c>
      <c r="J10" s="4">
        <f t="shared" si="7"/>
        <v>85.712000000000003</v>
      </c>
      <c r="K10" s="8">
        <f t="shared" si="8"/>
        <v>0.88</v>
      </c>
      <c r="L10" t="s">
        <v>11</v>
      </c>
      <c r="M10" s="2">
        <v>45662.335486111115</v>
      </c>
      <c r="N10" s="3">
        <v>45662.335486111115</v>
      </c>
      <c r="O10" t="str">
        <f t="shared" si="2"/>
        <v>Jan</v>
      </c>
      <c r="P10" t="str">
        <f t="shared" si="3"/>
        <v>Sun</v>
      </c>
      <c r="Q10" t="str">
        <f t="shared" si="4"/>
        <v>Weekday</v>
      </c>
      <c r="R10">
        <f t="shared" si="5"/>
        <v>8</v>
      </c>
      <c r="S10" t="s">
        <v>527</v>
      </c>
    </row>
    <row r="11" spans="1:19" x14ac:dyDescent="0.25">
      <c r="A11">
        <v>4855</v>
      </c>
      <c r="B11" t="s">
        <v>185</v>
      </c>
      <c r="C11" t="s">
        <v>28</v>
      </c>
      <c r="D11" t="s">
        <v>14</v>
      </c>
      <c r="E11">
        <v>2</v>
      </c>
      <c r="F11" s="4">
        <v>4.09</v>
      </c>
      <c r="G11" s="4" t="str">
        <f t="shared" si="0"/>
        <v>Budget</v>
      </c>
      <c r="H11" s="4">
        <f t="shared" si="6"/>
        <v>2.4539999999999997</v>
      </c>
      <c r="I11">
        <f t="shared" si="1"/>
        <v>8.18</v>
      </c>
      <c r="J11" s="4">
        <f t="shared" si="7"/>
        <v>5.726</v>
      </c>
      <c r="K11" s="8">
        <f t="shared" si="8"/>
        <v>0.70000000000000007</v>
      </c>
      <c r="L11" t="s">
        <v>17</v>
      </c>
      <c r="M11" s="2">
        <v>45662.860243055555</v>
      </c>
      <c r="N11" s="3">
        <v>45662.860243055555</v>
      </c>
      <c r="O11" t="str">
        <f t="shared" si="2"/>
        <v>Jan</v>
      </c>
      <c r="P11" t="str">
        <f t="shared" si="3"/>
        <v>Sun</v>
      </c>
      <c r="Q11" t="str">
        <f t="shared" si="4"/>
        <v>Weekday</v>
      </c>
      <c r="R11">
        <f t="shared" si="5"/>
        <v>20</v>
      </c>
      <c r="S11" t="s">
        <v>529</v>
      </c>
    </row>
    <row r="12" spans="1:19" x14ac:dyDescent="0.25">
      <c r="A12">
        <v>8184</v>
      </c>
      <c r="B12" t="s">
        <v>299</v>
      </c>
      <c r="C12" t="s">
        <v>13</v>
      </c>
      <c r="D12" t="s">
        <v>14</v>
      </c>
      <c r="E12">
        <v>2</v>
      </c>
      <c r="F12" s="4">
        <v>8.43</v>
      </c>
      <c r="G12" s="4" t="str">
        <f t="shared" si="0"/>
        <v>Budget</v>
      </c>
      <c r="H12" s="4">
        <f t="shared" si="6"/>
        <v>5.0579999999999998</v>
      </c>
      <c r="I12">
        <f t="shared" si="1"/>
        <v>16.86</v>
      </c>
      <c r="J12" s="4">
        <f t="shared" si="7"/>
        <v>11.802</v>
      </c>
      <c r="K12" s="8">
        <f t="shared" si="8"/>
        <v>0.7</v>
      </c>
      <c r="L12" t="s">
        <v>15</v>
      </c>
      <c r="M12" s="2">
        <v>45664.233553240738</v>
      </c>
      <c r="N12" s="3">
        <v>45664.233553240738</v>
      </c>
      <c r="O12" t="str">
        <f t="shared" si="2"/>
        <v>Jan</v>
      </c>
      <c r="P12" t="str">
        <f t="shared" si="3"/>
        <v>Tue</v>
      </c>
      <c r="Q12" t="str">
        <f t="shared" si="4"/>
        <v>Weekday</v>
      </c>
      <c r="R12">
        <f t="shared" si="5"/>
        <v>5</v>
      </c>
      <c r="S12" t="s">
        <v>527</v>
      </c>
    </row>
    <row r="13" spans="1:19" x14ac:dyDescent="0.25">
      <c r="A13">
        <v>8629</v>
      </c>
      <c r="B13" t="s">
        <v>154</v>
      </c>
      <c r="C13" t="s">
        <v>30</v>
      </c>
      <c r="D13" t="s">
        <v>10</v>
      </c>
      <c r="E13">
        <v>1</v>
      </c>
      <c r="F13" s="4">
        <v>9.2799999999999994</v>
      </c>
      <c r="G13" s="4" t="str">
        <f t="shared" si="0"/>
        <v>Budget</v>
      </c>
      <c r="H13" s="4">
        <f t="shared" si="6"/>
        <v>5.5679999999999996</v>
      </c>
      <c r="I13">
        <f t="shared" si="1"/>
        <v>9.2799999999999994</v>
      </c>
      <c r="J13" s="4">
        <f t="shared" si="7"/>
        <v>3.7119999999999997</v>
      </c>
      <c r="K13" s="8">
        <f t="shared" si="8"/>
        <v>0.4</v>
      </c>
      <c r="L13" t="s">
        <v>15</v>
      </c>
      <c r="M13" s="2">
        <v>45664.318078703705</v>
      </c>
      <c r="N13" s="3">
        <v>45664.318078703705</v>
      </c>
      <c r="O13" t="str">
        <f t="shared" si="2"/>
        <v>Jan</v>
      </c>
      <c r="P13" t="str">
        <f t="shared" si="3"/>
        <v>Tue</v>
      </c>
      <c r="Q13" t="str">
        <f t="shared" si="4"/>
        <v>Weekday</v>
      </c>
      <c r="R13">
        <f t="shared" si="5"/>
        <v>7</v>
      </c>
      <c r="S13" t="s">
        <v>527</v>
      </c>
    </row>
    <row r="14" spans="1:19" x14ac:dyDescent="0.25">
      <c r="A14">
        <v>4296</v>
      </c>
      <c r="B14" t="s">
        <v>338</v>
      </c>
      <c r="C14" t="s">
        <v>40</v>
      </c>
      <c r="D14" t="s">
        <v>22</v>
      </c>
      <c r="E14">
        <v>1</v>
      </c>
      <c r="F14" s="4">
        <v>13.44</v>
      </c>
      <c r="G14" s="4" t="str">
        <f t="shared" si="0"/>
        <v>Mid-Range</v>
      </c>
      <c r="H14" s="4">
        <f t="shared" si="6"/>
        <v>8.0640000000000001</v>
      </c>
      <c r="I14">
        <f t="shared" si="1"/>
        <v>13.44</v>
      </c>
      <c r="J14" s="4">
        <f t="shared" si="7"/>
        <v>5.3759999999999994</v>
      </c>
      <c r="K14" s="8">
        <f t="shared" si="8"/>
        <v>0.39999999999999997</v>
      </c>
      <c r="L14" t="s">
        <v>19</v>
      </c>
      <c r="M14" s="2">
        <v>45665.539907407408</v>
      </c>
      <c r="N14" s="3">
        <v>45665.539907407408</v>
      </c>
      <c r="O14" t="str">
        <f t="shared" si="2"/>
        <v>Jan</v>
      </c>
      <c r="P14" t="str">
        <f t="shared" si="3"/>
        <v>Wed</v>
      </c>
      <c r="Q14" t="str">
        <f t="shared" si="4"/>
        <v>Weekday</v>
      </c>
      <c r="R14">
        <f t="shared" si="5"/>
        <v>12</v>
      </c>
      <c r="S14" t="s">
        <v>528</v>
      </c>
    </row>
    <row r="15" spans="1:19" x14ac:dyDescent="0.25">
      <c r="A15">
        <v>1055</v>
      </c>
      <c r="B15" t="s">
        <v>311</v>
      </c>
      <c r="C15" t="s">
        <v>33</v>
      </c>
      <c r="D15" t="s">
        <v>14</v>
      </c>
      <c r="E15">
        <v>5</v>
      </c>
      <c r="F15" s="4">
        <v>3.97</v>
      </c>
      <c r="G15" s="4" t="str">
        <f t="shared" si="0"/>
        <v>Budget</v>
      </c>
      <c r="H15" s="4">
        <f t="shared" si="6"/>
        <v>2.3820000000000001</v>
      </c>
      <c r="I15">
        <f t="shared" si="1"/>
        <v>19.850000000000001</v>
      </c>
      <c r="J15" s="4">
        <f t="shared" si="7"/>
        <v>17.468</v>
      </c>
      <c r="K15" s="8">
        <f t="shared" si="8"/>
        <v>0.87999999999999989</v>
      </c>
      <c r="L15" t="s">
        <v>19</v>
      </c>
      <c r="M15" s="2">
        <v>45665.955659722225</v>
      </c>
      <c r="N15" s="3">
        <v>45665.955659722225</v>
      </c>
      <c r="O15" t="str">
        <f t="shared" si="2"/>
        <v>Jan</v>
      </c>
      <c r="P15" t="str">
        <f t="shared" si="3"/>
        <v>Wed</v>
      </c>
      <c r="Q15" t="str">
        <f t="shared" si="4"/>
        <v>Weekday</v>
      </c>
      <c r="R15">
        <f t="shared" si="5"/>
        <v>22</v>
      </c>
      <c r="S15" t="s">
        <v>529</v>
      </c>
    </row>
    <row r="16" spans="1:19" x14ac:dyDescent="0.25">
      <c r="A16">
        <v>9593</v>
      </c>
      <c r="B16" t="s">
        <v>273</v>
      </c>
      <c r="C16" t="s">
        <v>35</v>
      </c>
      <c r="D16" t="s">
        <v>22</v>
      </c>
      <c r="E16">
        <v>5</v>
      </c>
      <c r="F16" s="4">
        <v>12.02</v>
      </c>
      <c r="G16" s="4" t="str">
        <f t="shared" si="0"/>
        <v>Mid-Range</v>
      </c>
      <c r="H16" s="4">
        <f t="shared" si="6"/>
        <v>7.2119999999999997</v>
      </c>
      <c r="I16">
        <f t="shared" si="1"/>
        <v>60.099999999999994</v>
      </c>
      <c r="J16" s="4">
        <f t="shared" si="7"/>
        <v>52.887999999999991</v>
      </c>
      <c r="K16" s="8">
        <f t="shared" si="8"/>
        <v>0.87999999999999989</v>
      </c>
      <c r="L16" t="s">
        <v>15</v>
      </c>
      <c r="M16" s="2">
        <v>45666.579618055555</v>
      </c>
      <c r="N16" s="3">
        <v>45666.579618055555</v>
      </c>
      <c r="O16" t="str">
        <f t="shared" si="2"/>
        <v>Jan</v>
      </c>
      <c r="P16" t="str">
        <f t="shared" si="3"/>
        <v>Thu</v>
      </c>
      <c r="Q16" t="str">
        <f t="shared" si="4"/>
        <v>Weekday</v>
      </c>
      <c r="R16">
        <f t="shared" si="5"/>
        <v>13</v>
      </c>
      <c r="S16" t="s">
        <v>528</v>
      </c>
    </row>
    <row r="17" spans="1:19" x14ac:dyDescent="0.25">
      <c r="A17">
        <v>7901</v>
      </c>
      <c r="B17" t="s">
        <v>209</v>
      </c>
      <c r="C17" t="s">
        <v>21</v>
      </c>
      <c r="D17" t="s">
        <v>22</v>
      </c>
      <c r="E17">
        <v>4</v>
      </c>
      <c r="F17" s="4">
        <v>3.07</v>
      </c>
      <c r="G17" s="4" t="str">
        <f t="shared" si="0"/>
        <v>Budget</v>
      </c>
      <c r="H17" s="4">
        <f t="shared" si="6"/>
        <v>1.8419999999999999</v>
      </c>
      <c r="I17">
        <f t="shared" si="1"/>
        <v>12.28</v>
      </c>
      <c r="J17" s="4">
        <f t="shared" si="7"/>
        <v>10.437999999999999</v>
      </c>
      <c r="K17" s="8">
        <f t="shared" si="8"/>
        <v>0.85</v>
      </c>
      <c r="L17" t="s">
        <v>15</v>
      </c>
      <c r="M17" s="2">
        <v>45667.91065972222</v>
      </c>
      <c r="N17" s="3">
        <v>45667.91065972222</v>
      </c>
      <c r="O17" t="str">
        <f t="shared" si="2"/>
        <v>Jan</v>
      </c>
      <c r="P17" t="str">
        <f t="shared" si="3"/>
        <v>Fri</v>
      </c>
      <c r="Q17" t="str">
        <f t="shared" si="4"/>
        <v>Weekend</v>
      </c>
      <c r="R17">
        <f t="shared" si="5"/>
        <v>21</v>
      </c>
      <c r="S17" t="s">
        <v>529</v>
      </c>
    </row>
    <row r="18" spans="1:19" x14ac:dyDescent="0.25">
      <c r="A18">
        <v>2814</v>
      </c>
      <c r="B18" t="s">
        <v>513</v>
      </c>
      <c r="C18" t="s">
        <v>37</v>
      </c>
      <c r="D18" t="s">
        <v>10</v>
      </c>
      <c r="E18">
        <v>1</v>
      </c>
      <c r="F18" s="4">
        <v>8.5</v>
      </c>
      <c r="G18" s="4" t="str">
        <f t="shared" si="0"/>
        <v>Budget</v>
      </c>
      <c r="H18" s="4">
        <f t="shared" si="6"/>
        <v>5.0999999999999996</v>
      </c>
      <c r="I18">
        <f t="shared" si="1"/>
        <v>8.5</v>
      </c>
      <c r="J18" s="4">
        <f t="shared" si="7"/>
        <v>3.4000000000000004</v>
      </c>
      <c r="K18" s="8">
        <f t="shared" si="8"/>
        <v>0.4</v>
      </c>
      <c r="L18" t="s">
        <v>15</v>
      </c>
      <c r="M18" s="2">
        <v>45667.965613425928</v>
      </c>
      <c r="N18" s="3">
        <v>45667.965613425928</v>
      </c>
      <c r="O18" t="str">
        <f t="shared" si="2"/>
        <v>Jan</v>
      </c>
      <c r="P18" t="str">
        <f t="shared" si="3"/>
        <v>Fri</v>
      </c>
      <c r="Q18" t="str">
        <f t="shared" si="4"/>
        <v>Weekend</v>
      </c>
      <c r="R18">
        <f t="shared" si="5"/>
        <v>23</v>
      </c>
      <c r="S18" t="s">
        <v>529</v>
      </c>
    </row>
    <row r="19" spans="1:19" x14ac:dyDescent="0.25">
      <c r="A19">
        <v>9997</v>
      </c>
      <c r="B19" t="s">
        <v>503</v>
      </c>
      <c r="C19" t="s">
        <v>21</v>
      </c>
      <c r="D19" t="s">
        <v>22</v>
      </c>
      <c r="E19">
        <v>1</v>
      </c>
      <c r="F19" s="4">
        <v>4.58</v>
      </c>
      <c r="G19" s="4" t="str">
        <f t="shared" si="0"/>
        <v>Budget</v>
      </c>
      <c r="H19" s="4">
        <f t="shared" si="6"/>
        <v>2.7479999999999998</v>
      </c>
      <c r="I19">
        <f t="shared" si="1"/>
        <v>4.58</v>
      </c>
      <c r="J19" s="4">
        <f t="shared" si="7"/>
        <v>1.8320000000000003</v>
      </c>
      <c r="K19" s="8">
        <f t="shared" si="8"/>
        <v>0.40000000000000008</v>
      </c>
      <c r="L19" t="s">
        <v>15</v>
      </c>
      <c r="M19" s="2">
        <v>45668.016458333332</v>
      </c>
      <c r="N19" s="3">
        <v>45668.016458333332</v>
      </c>
      <c r="O19" t="str">
        <f t="shared" si="2"/>
        <v>Jan</v>
      </c>
      <c r="P19" t="str">
        <f t="shared" si="3"/>
        <v>Sat</v>
      </c>
      <c r="Q19" t="str">
        <f t="shared" si="4"/>
        <v>Weekend</v>
      </c>
      <c r="R19">
        <f t="shared" si="5"/>
        <v>0</v>
      </c>
      <c r="S19" t="s">
        <v>527</v>
      </c>
    </row>
    <row r="20" spans="1:19" x14ac:dyDescent="0.25">
      <c r="A20">
        <v>6247</v>
      </c>
      <c r="B20" t="s">
        <v>274</v>
      </c>
      <c r="C20" t="s">
        <v>37</v>
      </c>
      <c r="D20" t="s">
        <v>10</v>
      </c>
      <c r="E20">
        <v>5</v>
      </c>
      <c r="F20" s="4">
        <v>8.5399999999999991</v>
      </c>
      <c r="G20" s="4" t="str">
        <f t="shared" si="0"/>
        <v>Budget</v>
      </c>
      <c r="H20" s="4">
        <f t="shared" si="6"/>
        <v>5.1239999999999997</v>
      </c>
      <c r="I20">
        <f t="shared" si="1"/>
        <v>42.699999999999996</v>
      </c>
      <c r="J20" s="4">
        <f t="shared" si="7"/>
        <v>37.575999999999993</v>
      </c>
      <c r="K20" s="8">
        <f t="shared" si="8"/>
        <v>0.87999999999999989</v>
      </c>
      <c r="L20" t="s">
        <v>15</v>
      </c>
      <c r="M20" s="2">
        <v>45668.232395833336</v>
      </c>
      <c r="N20" s="3">
        <v>45668.232395833336</v>
      </c>
      <c r="O20" t="str">
        <f t="shared" si="2"/>
        <v>Jan</v>
      </c>
      <c r="P20" t="str">
        <f t="shared" si="3"/>
        <v>Sat</v>
      </c>
      <c r="Q20" t="str">
        <f t="shared" si="4"/>
        <v>Weekend</v>
      </c>
      <c r="R20">
        <f t="shared" si="5"/>
        <v>5</v>
      </c>
      <c r="S20" t="s">
        <v>527</v>
      </c>
    </row>
    <row r="21" spans="1:19" x14ac:dyDescent="0.25">
      <c r="A21">
        <v>3655</v>
      </c>
      <c r="B21" t="s">
        <v>173</v>
      </c>
      <c r="C21" t="s">
        <v>35</v>
      </c>
      <c r="D21" t="s">
        <v>22</v>
      </c>
      <c r="E21">
        <v>1</v>
      </c>
      <c r="F21" s="4">
        <v>6.07</v>
      </c>
      <c r="G21" s="4" t="str">
        <f t="shared" si="0"/>
        <v>Budget</v>
      </c>
      <c r="H21" s="4">
        <f t="shared" si="6"/>
        <v>3.6419999999999999</v>
      </c>
      <c r="I21">
        <f t="shared" si="1"/>
        <v>6.07</v>
      </c>
      <c r="J21" s="4">
        <f t="shared" si="7"/>
        <v>2.4280000000000004</v>
      </c>
      <c r="K21" s="8">
        <f t="shared" si="8"/>
        <v>0.4</v>
      </c>
      <c r="L21" t="s">
        <v>15</v>
      </c>
      <c r="M21" s="2">
        <v>45668.519270833334</v>
      </c>
      <c r="N21" s="3">
        <v>45668.519270833334</v>
      </c>
      <c r="O21" t="str">
        <f t="shared" si="2"/>
        <v>Jan</v>
      </c>
      <c r="P21" t="str">
        <f t="shared" si="3"/>
        <v>Sat</v>
      </c>
      <c r="Q21" t="str">
        <f t="shared" si="4"/>
        <v>Weekend</v>
      </c>
      <c r="R21">
        <f t="shared" si="5"/>
        <v>12</v>
      </c>
      <c r="S21" t="s">
        <v>528</v>
      </c>
    </row>
    <row r="22" spans="1:19" x14ac:dyDescent="0.25">
      <c r="A22">
        <v>9267</v>
      </c>
      <c r="B22" t="s">
        <v>189</v>
      </c>
      <c r="C22" t="s">
        <v>13</v>
      </c>
      <c r="D22" t="s">
        <v>14</v>
      </c>
      <c r="E22">
        <v>5</v>
      </c>
      <c r="F22" s="4">
        <v>20.81</v>
      </c>
      <c r="G22" s="4" t="str">
        <f t="shared" si="0"/>
        <v>Premium</v>
      </c>
      <c r="H22" s="4">
        <f t="shared" si="6"/>
        <v>12.485999999999999</v>
      </c>
      <c r="I22">
        <f t="shared" si="1"/>
        <v>104.05</v>
      </c>
      <c r="J22" s="4">
        <f t="shared" si="7"/>
        <v>91.563999999999993</v>
      </c>
      <c r="K22" s="8">
        <f t="shared" si="8"/>
        <v>0.88</v>
      </c>
      <c r="L22" t="s">
        <v>11</v>
      </c>
      <c r="M22" s="2">
        <v>45669.275150462963</v>
      </c>
      <c r="N22" s="3">
        <v>45669.275150462963</v>
      </c>
      <c r="O22" t="str">
        <f t="shared" si="2"/>
        <v>Jan</v>
      </c>
      <c r="P22" t="str">
        <f t="shared" si="3"/>
        <v>Sun</v>
      </c>
      <c r="Q22" t="str">
        <f t="shared" si="4"/>
        <v>Weekday</v>
      </c>
      <c r="R22">
        <f t="shared" si="5"/>
        <v>6</v>
      </c>
      <c r="S22" t="s">
        <v>527</v>
      </c>
    </row>
    <row r="23" spans="1:19" x14ac:dyDescent="0.25">
      <c r="A23">
        <v>7554</v>
      </c>
      <c r="B23" t="s">
        <v>320</v>
      </c>
      <c r="C23" t="s">
        <v>9</v>
      </c>
      <c r="D23" t="s">
        <v>10</v>
      </c>
      <c r="E23">
        <v>4</v>
      </c>
      <c r="F23" s="4">
        <v>2.69</v>
      </c>
      <c r="G23" s="4" t="str">
        <f t="shared" si="0"/>
        <v>Budget</v>
      </c>
      <c r="H23" s="4">
        <f t="shared" si="6"/>
        <v>1.6139999999999999</v>
      </c>
      <c r="I23">
        <f t="shared" si="1"/>
        <v>10.76</v>
      </c>
      <c r="J23" s="4">
        <f t="shared" si="7"/>
        <v>9.1460000000000008</v>
      </c>
      <c r="K23" s="8">
        <f t="shared" si="8"/>
        <v>0.85000000000000009</v>
      </c>
      <c r="L23" t="s">
        <v>17</v>
      </c>
      <c r="M23" s="2">
        <v>45669.304768518516</v>
      </c>
      <c r="N23" s="3">
        <v>45669.304768518516</v>
      </c>
      <c r="O23" t="str">
        <f t="shared" si="2"/>
        <v>Jan</v>
      </c>
      <c r="P23" t="str">
        <f t="shared" si="3"/>
        <v>Sun</v>
      </c>
      <c r="Q23" t="str">
        <f t="shared" si="4"/>
        <v>Weekday</v>
      </c>
      <c r="R23">
        <f t="shared" si="5"/>
        <v>7</v>
      </c>
      <c r="S23" t="s">
        <v>527</v>
      </c>
    </row>
    <row r="24" spans="1:19" x14ac:dyDescent="0.25">
      <c r="A24">
        <v>5166</v>
      </c>
      <c r="B24" t="s">
        <v>416</v>
      </c>
      <c r="C24" t="s">
        <v>33</v>
      </c>
      <c r="D24" t="s">
        <v>14</v>
      </c>
      <c r="E24">
        <v>1</v>
      </c>
      <c r="F24" s="4">
        <v>11.52</v>
      </c>
      <c r="G24" s="4" t="str">
        <f t="shared" si="0"/>
        <v>Mid-Range</v>
      </c>
      <c r="H24" s="4">
        <f t="shared" si="6"/>
        <v>6.9119999999999999</v>
      </c>
      <c r="I24">
        <f t="shared" si="1"/>
        <v>11.52</v>
      </c>
      <c r="J24" s="4">
        <f t="shared" si="7"/>
        <v>4.6079999999999997</v>
      </c>
      <c r="K24" s="8">
        <f t="shared" si="8"/>
        <v>0.39999999999999997</v>
      </c>
      <c r="L24" t="s">
        <v>17</v>
      </c>
      <c r="M24" s="2">
        <v>45669.356157407405</v>
      </c>
      <c r="N24" s="3">
        <v>45669.356157407405</v>
      </c>
      <c r="O24" t="str">
        <f t="shared" si="2"/>
        <v>Jan</v>
      </c>
      <c r="P24" t="str">
        <f t="shared" si="3"/>
        <v>Sun</v>
      </c>
      <c r="Q24" t="str">
        <f t="shared" si="4"/>
        <v>Weekday</v>
      </c>
      <c r="R24">
        <f t="shared" si="5"/>
        <v>8</v>
      </c>
      <c r="S24" t="s">
        <v>527</v>
      </c>
    </row>
    <row r="25" spans="1:19" x14ac:dyDescent="0.25">
      <c r="A25">
        <v>9412</v>
      </c>
      <c r="B25" t="s">
        <v>267</v>
      </c>
      <c r="C25" t="s">
        <v>28</v>
      </c>
      <c r="D25" t="s">
        <v>14</v>
      </c>
      <c r="E25">
        <v>2</v>
      </c>
      <c r="F25" s="4">
        <v>18.29</v>
      </c>
      <c r="G25" s="4" t="str">
        <f t="shared" si="0"/>
        <v>Mid-Range</v>
      </c>
      <c r="H25" s="4">
        <f t="shared" si="6"/>
        <v>10.973999999999998</v>
      </c>
      <c r="I25">
        <f t="shared" si="1"/>
        <v>36.58</v>
      </c>
      <c r="J25" s="4">
        <f t="shared" si="7"/>
        <v>25.606000000000002</v>
      </c>
      <c r="K25" s="8">
        <f t="shared" si="8"/>
        <v>0.70000000000000007</v>
      </c>
      <c r="L25" t="s">
        <v>17</v>
      </c>
      <c r="M25" s="2">
        <v>45669.376134259262</v>
      </c>
      <c r="N25" s="3">
        <v>45669.376134259262</v>
      </c>
      <c r="O25" t="str">
        <f t="shared" si="2"/>
        <v>Jan</v>
      </c>
      <c r="P25" t="str">
        <f t="shared" si="3"/>
        <v>Sun</v>
      </c>
      <c r="Q25" t="str">
        <f t="shared" si="4"/>
        <v>Weekday</v>
      </c>
      <c r="R25">
        <f t="shared" si="5"/>
        <v>9</v>
      </c>
      <c r="S25" t="s">
        <v>527</v>
      </c>
    </row>
    <row r="26" spans="1:19" x14ac:dyDescent="0.25">
      <c r="A26">
        <v>3193</v>
      </c>
      <c r="B26" t="s">
        <v>325</v>
      </c>
      <c r="C26" t="s">
        <v>30</v>
      </c>
      <c r="D26" t="s">
        <v>10</v>
      </c>
      <c r="E26">
        <v>4</v>
      </c>
      <c r="F26" s="4">
        <v>14.15</v>
      </c>
      <c r="G26" s="4" t="str">
        <f t="shared" si="0"/>
        <v>Mid-Range</v>
      </c>
      <c r="H26" s="4">
        <f t="shared" si="6"/>
        <v>8.49</v>
      </c>
      <c r="I26">
        <f t="shared" si="1"/>
        <v>56.6</v>
      </c>
      <c r="J26" s="4">
        <f t="shared" si="7"/>
        <v>48.11</v>
      </c>
      <c r="K26" s="8">
        <f t="shared" si="8"/>
        <v>0.85</v>
      </c>
      <c r="L26" t="s">
        <v>19</v>
      </c>
      <c r="M26" s="2">
        <v>45670.323206018518</v>
      </c>
      <c r="N26" s="3">
        <v>45670.323206018518</v>
      </c>
      <c r="O26" t="str">
        <f t="shared" si="2"/>
        <v>Jan</v>
      </c>
      <c r="P26" t="str">
        <f t="shared" si="3"/>
        <v>Mon</v>
      </c>
      <c r="Q26" t="str">
        <f t="shared" si="4"/>
        <v>Weekday</v>
      </c>
      <c r="R26">
        <f t="shared" si="5"/>
        <v>7</v>
      </c>
      <c r="S26" t="s">
        <v>527</v>
      </c>
    </row>
    <row r="27" spans="1:19" x14ac:dyDescent="0.25">
      <c r="A27">
        <v>6323</v>
      </c>
      <c r="B27" t="s">
        <v>516</v>
      </c>
      <c r="C27" t="s">
        <v>37</v>
      </c>
      <c r="D27" t="s">
        <v>10</v>
      </c>
      <c r="E27">
        <v>1</v>
      </c>
      <c r="F27" s="4">
        <v>21.31</v>
      </c>
      <c r="G27" s="4" t="str">
        <f t="shared" si="0"/>
        <v>Premium</v>
      </c>
      <c r="H27" s="4">
        <f t="shared" si="6"/>
        <v>12.786</v>
      </c>
      <c r="I27">
        <f t="shared" si="1"/>
        <v>21.31</v>
      </c>
      <c r="J27" s="4">
        <f t="shared" si="7"/>
        <v>8.5239999999999991</v>
      </c>
      <c r="K27" s="8">
        <f>J27 / I27</f>
        <v>0.39999999999999997</v>
      </c>
      <c r="L27" t="s">
        <v>11</v>
      </c>
      <c r="M27" s="2">
        <v>45672.806273148148</v>
      </c>
      <c r="N27" s="3">
        <v>45672.806273148148</v>
      </c>
      <c r="O27" t="str">
        <f t="shared" si="2"/>
        <v>Jan</v>
      </c>
      <c r="P27" t="str">
        <f t="shared" si="3"/>
        <v>Wed</v>
      </c>
      <c r="Q27" t="str">
        <f t="shared" si="4"/>
        <v>Weekday</v>
      </c>
      <c r="R27">
        <f t="shared" si="5"/>
        <v>19</v>
      </c>
      <c r="S27" t="s">
        <v>529</v>
      </c>
    </row>
    <row r="28" spans="1:19" x14ac:dyDescent="0.25">
      <c r="A28">
        <v>5133</v>
      </c>
      <c r="B28" t="s">
        <v>404</v>
      </c>
      <c r="C28" t="s">
        <v>30</v>
      </c>
      <c r="D28" t="s">
        <v>10</v>
      </c>
      <c r="E28">
        <v>4</v>
      </c>
      <c r="F28" s="4">
        <v>3.18</v>
      </c>
      <c r="G28" s="4" t="str">
        <f t="shared" si="0"/>
        <v>Budget</v>
      </c>
      <c r="H28" s="4">
        <f t="shared" si="6"/>
        <v>1.9079999999999999</v>
      </c>
      <c r="I28">
        <f t="shared" si="1"/>
        <v>12.72</v>
      </c>
      <c r="J28" s="4">
        <f t="shared" si="7"/>
        <v>10.812000000000001</v>
      </c>
      <c r="K28" s="8">
        <f t="shared" si="8"/>
        <v>0.85000000000000009</v>
      </c>
      <c r="L28" t="s">
        <v>11</v>
      </c>
      <c r="M28" s="2">
        <v>45673.241388888891</v>
      </c>
      <c r="N28" s="3">
        <v>45673.241388888891</v>
      </c>
      <c r="O28" t="str">
        <f t="shared" si="2"/>
        <v>Jan</v>
      </c>
      <c r="P28" t="str">
        <f t="shared" si="3"/>
        <v>Thu</v>
      </c>
      <c r="Q28" t="str">
        <f t="shared" si="4"/>
        <v>Weekday</v>
      </c>
      <c r="R28">
        <f t="shared" si="5"/>
        <v>5</v>
      </c>
      <c r="S28" t="s">
        <v>527</v>
      </c>
    </row>
    <row r="29" spans="1:19" x14ac:dyDescent="0.25">
      <c r="A29">
        <v>2261</v>
      </c>
      <c r="B29" t="s">
        <v>162</v>
      </c>
      <c r="C29" t="s">
        <v>21</v>
      </c>
      <c r="D29" t="s">
        <v>22</v>
      </c>
      <c r="E29">
        <v>2</v>
      </c>
      <c r="F29" s="4">
        <v>12.87</v>
      </c>
      <c r="G29" s="4" t="str">
        <f t="shared" si="0"/>
        <v>Mid-Range</v>
      </c>
      <c r="H29" s="4">
        <f t="shared" si="6"/>
        <v>7.7219999999999995</v>
      </c>
      <c r="I29">
        <f t="shared" si="1"/>
        <v>25.74</v>
      </c>
      <c r="J29" s="4">
        <f t="shared" si="7"/>
        <v>18.018000000000001</v>
      </c>
      <c r="K29" s="8">
        <f t="shared" si="8"/>
        <v>0.70000000000000007</v>
      </c>
      <c r="L29" t="s">
        <v>11</v>
      </c>
      <c r="M29" s="2">
        <v>45673.245509259257</v>
      </c>
      <c r="N29" s="3">
        <v>45673.245509259257</v>
      </c>
      <c r="O29" t="str">
        <f t="shared" si="2"/>
        <v>Jan</v>
      </c>
      <c r="P29" t="str">
        <f t="shared" si="3"/>
        <v>Thu</v>
      </c>
      <c r="Q29" t="str">
        <f t="shared" si="4"/>
        <v>Weekday</v>
      </c>
      <c r="R29">
        <f t="shared" si="5"/>
        <v>5</v>
      </c>
      <c r="S29" t="s">
        <v>527</v>
      </c>
    </row>
    <row r="30" spans="1:19" x14ac:dyDescent="0.25">
      <c r="A30">
        <v>9429</v>
      </c>
      <c r="B30" t="s">
        <v>255</v>
      </c>
      <c r="C30" t="s">
        <v>37</v>
      </c>
      <c r="D30" t="s">
        <v>10</v>
      </c>
      <c r="E30">
        <v>4</v>
      </c>
      <c r="F30" s="4">
        <v>14.73</v>
      </c>
      <c r="G30" s="4" t="str">
        <f t="shared" si="0"/>
        <v>Mid-Range</v>
      </c>
      <c r="H30" s="4">
        <f t="shared" si="6"/>
        <v>8.8379999999999992</v>
      </c>
      <c r="I30">
        <f t="shared" si="1"/>
        <v>58.92</v>
      </c>
      <c r="J30" s="4">
        <f t="shared" si="7"/>
        <v>50.082000000000001</v>
      </c>
      <c r="K30" s="8">
        <f t="shared" si="8"/>
        <v>0.85</v>
      </c>
      <c r="L30" t="s">
        <v>19</v>
      </c>
      <c r="M30" s="2">
        <v>45673.968935185185</v>
      </c>
      <c r="N30" s="3">
        <v>45673.968935185185</v>
      </c>
      <c r="O30" t="str">
        <f t="shared" si="2"/>
        <v>Jan</v>
      </c>
      <c r="P30" t="str">
        <f t="shared" si="3"/>
        <v>Thu</v>
      </c>
      <c r="Q30" t="str">
        <f t="shared" si="4"/>
        <v>Weekday</v>
      </c>
      <c r="R30">
        <f t="shared" si="5"/>
        <v>23</v>
      </c>
      <c r="S30" t="s">
        <v>529</v>
      </c>
    </row>
    <row r="31" spans="1:19" x14ac:dyDescent="0.25">
      <c r="A31">
        <v>6815</v>
      </c>
      <c r="B31" t="s">
        <v>89</v>
      </c>
      <c r="C31" t="s">
        <v>28</v>
      </c>
      <c r="D31" t="s">
        <v>14</v>
      </c>
      <c r="E31">
        <v>4</v>
      </c>
      <c r="F31" s="4">
        <v>10.62</v>
      </c>
      <c r="G31" s="4" t="str">
        <f t="shared" si="0"/>
        <v>Mid-Range</v>
      </c>
      <c r="H31" s="4">
        <f t="shared" si="6"/>
        <v>6.371999999999999</v>
      </c>
      <c r="I31">
        <f t="shared" si="1"/>
        <v>42.48</v>
      </c>
      <c r="J31" s="4">
        <f t="shared" si="7"/>
        <v>36.107999999999997</v>
      </c>
      <c r="K31" s="8">
        <f t="shared" si="8"/>
        <v>0.85</v>
      </c>
      <c r="L31" t="s">
        <v>19</v>
      </c>
      <c r="M31" s="2">
        <v>45675.104791666665</v>
      </c>
      <c r="N31" s="3">
        <v>45675.104791666665</v>
      </c>
      <c r="O31" t="str">
        <f t="shared" si="2"/>
        <v>Jan</v>
      </c>
      <c r="P31" t="str">
        <f t="shared" si="3"/>
        <v>Sat</v>
      </c>
      <c r="Q31" t="str">
        <f t="shared" si="4"/>
        <v>Weekend</v>
      </c>
      <c r="R31">
        <f t="shared" si="5"/>
        <v>2</v>
      </c>
      <c r="S31" t="s">
        <v>527</v>
      </c>
    </row>
    <row r="32" spans="1:19" x14ac:dyDescent="0.25">
      <c r="A32">
        <v>7586</v>
      </c>
      <c r="B32" t="s">
        <v>258</v>
      </c>
      <c r="C32" t="s">
        <v>9</v>
      </c>
      <c r="D32" t="s">
        <v>10</v>
      </c>
      <c r="E32">
        <v>4</v>
      </c>
      <c r="F32" s="4">
        <v>7.76</v>
      </c>
      <c r="G32" s="4" t="str">
        <f t="shared" si="0"/>
        <v>Budget</v>
      </c>
      <c r="H32" s="4">
        <f t="shared" si="6"/>
        <v>4.6559999999999997</v>
      </c>
      <c r="I32">
        <f t="shared" si="1"/>
        <v>31.04</v>
      </c>
      <c r="J32" s="4">
        <f t="shared" si="7"/>
        <v>26.384</v>
      </c>
      <c r="K32" s="8">
        <f t="shared" si="8"/>
        <v>0.85000000000000009</v>
      </c>
      <c r="L32" t="s">
        <v>19</v>
      </c>
      <c r="M32" s="2">
        <v>45675.532893518517</v>
      </c>
      <c r="N32" s="3">
        <v>45675.532893518517</v>
      </c>
      <c r="O32" t="str">
        <f t="shared" si="2"/>
        <v>Jan</v>
      </c>
      <c r="P32" t="str">
        <f t="shared" si="3"/>
        <v>Sat</v>
      </c>
      <c r="Q32" t="str">
        <f t="shared" si="4"/>
        <v>Weekend</v>
      </c>
      <c r="R32">
        <f t="shared" si="5"/>
        <v>12</v>
      </c>
      <c r="S32" t="s">
        <v>528</v>
      </c>
    </row>
    <row r="33" spans="1:19" x14ac:dyDescent="0.25">
      <c r="A33">
        <v>7910</v>
      </c>
      <c r="B33" t="s">
        <v>282</v>
      </c>
      <c r="C33" t="s">
        <v>40</v>
      </c>
      <c r="D33" t="s">
        <v>22</v>
      </c>
      <c r="E33">
        <v>1</v>
      </c>
      <c r="F33" s="4">
        <v>15.78</v>
      </c>
      <c r="G33" s="4" t="str">
        <f t="shared" si="0"/>
        <v>Mid-Range</v>
      </c>
      <c r="H33" s="4">
        <f t="shared" si="6"/>
        <v>9.468</v>
      </c>
      <c r="I33">
        <f t="shared" si="1"/>
        <v>15.78</v>
      </c>
      <c r="J33" s="4">
        <f t="shared" si="7"/>
        <v>6.3119999999999994</v>
      </c>
      <c r="K33" s="8">
        <f t="shared" si="8"/>
        <v>0.39999999999999997</v>
      </c>
      <c r="L33" t="s">
        <v>19</v>
      </c>
      <c r="M33" s="2">
        <v>45675.788344907407</v>
      </c>
      <c r="N33" s="3">
        <v>45675.788344907407</v>
      </c>
      <c r="O33" t="str">
        <f t="shared" si="2"/>
        <v>Jan</v>
      </c>
      <c r="P33" t="str">
        <f t="shared" si="3"/>
        <v>Sat</v>
      </c>
      <c r="Q33" t="str">
        <f t="shared" si="4"/>
        <v>Weekend</v>
      </c>
      <c r="R33">
        <f t="shared" si="5"/>
        <v>18</v>
      </c>
      <c r="S33" t="s">
        <v>529</v>
      </c>
    </row>
    <row r="34" spans="1:19" x14ac:dyDescent="0.25">
      <c r="A34">
        <v>6329</v>
      </c>
      <c r="B34" t="s">
        <v>329</v>
      </c>
      <c r="C34" t="s">
        <v>30</v>
      </c>
      <c r="D34" t="s">
        <v>10</v>
      </c>
      <c r="E34">
        <v>3</v>
      </c>
      <c r="F34" s="4">
        <v>3.26</v>
      </c>
      <c r="G34" s="4" t="str">
        <f t="shared" si="0"/>
        <v>Budget</v>
      </c>
      <c r="H34" s="4">
        <f t="shared" si="6"/>
        <v>1.9559999999999997</v>
      </c>
      <c r="I34">
        <f t="shared" si="1"/>
        <v>9.7799999999999994</v>
      </c>
      <c r="J34" s="4">
        <f t="shared" si="7"/>
        <v>7.8239999999999998</v>
      </c>
      <c r="K34" s="8">
        <f t="shared" si="8"/>
        <v>0.8</v>
      </c>
      <c r="L34" t="s">
        <v>19</v>
      </c>
      <c r="M34" s="2">
        <v>45675.911828703705</v>
      </c>
      <c r="N34" s="3">
        <v>45675.911828703705</v>
      </c>
      <c r="O34" t="str">
        <f t="shared" si="2"/>
        <v>Jan</v>
      </c>
      <c r="P34" t="str">
        <f t="shared" si="3"/>
        <v>Sat</v>
      </c>
      <c r="Q34" t="str">
        <f t="shared" si="4"/>
        <v>Weekend</v>
      </c>
      <c r="R34">
        <f t="shared" si="5"/>
        <v>21</v>
      </c>
      <c r="S34" t="s">
        <v>529</v>
      </c>
    </row>
    <row r="35" spans="1:19" x14ac:dyDescent="0.25">
      <c r="A35">
        <v>6341</v>
      </c>
      <c r="B35" t="s">
        <v>343</v>
      </c>
      <c r="C35" t="s">
        <v>9</v>
      </c>
      <c r="D35" t="s">
        <v>10</v>
      </c>
      <c r="E35">
        <v>4</v>
      </c>
      <c r="F35" s="4">
        <v>16.48</v>
      </c>
      <c r="G35" s="4" t="str">
        <f t="shared" si="0"/>
        <v>Mid-Range</v>
      </c>
      <c r="H35" s="4">
        <f t="shared" si="6"/>
        <v>9.8879999999999999</v>
      </c>
      <c r="I35">
        <f t="shared" si="1"/>
        <v>65.92</v>
      </c>
      <c r="J35" s="4">
        <f t="shared" si="7"/>
        <v>56.032000000000004</v>
      </c>
      <c r="K35" s="8">
        <f t="shared" si="8"/>
        <v>0.85</v>
      </c>
      <c r="L35" t="s">
        <v>11</v>
      </c>
      <c r="M35" s="2">
        <v>45677.854247685187</v>
      </c>
      <c r="N35" s="3">
        <v>45677.854247685187</v>
      </c>
      <c r="O35" t="str">
        <f t="shared" si="2"/>
        <v>Jan</v>
      </c>
      <c r="P35" t="str">
        <f t="shared" si="3"/>
        <v>Mon</v>
      </c>
      <c r="Q35" t="str">
        <f t="shared" si="4"/>
        <v>Weekday</v>
      </c>
      <c r="R35">
        <f t="shared" si="5"/>
        <v>20</v>
      </c>
      <c r="S35" t="s">
        <v>529</v>
      </c>
    </row>
    <row r="36" spans="1:19" x14ac:dyDescent="0.25">
      <c r="A36">
        <v>7469</v>
      </c>
      <c r="B36" t="s">
        <v>350</v>
      </c>
      <c r="C36" t="s">
        <v>35</v>
      </c>
      <c r="D36" t="s">
        <v>22</v>
      </c>
      <c r="E36">
        <v>3</v>
      </c>
      <c r="F36" s="4">
        <v>16.38</v>
      </c>
      <c r="G36" s="4" t="str">
        <f t="shared" si="0"/>
        <v>Mid-Range</v>
      </c>
      <c r="H36" s="4">
        <f t="shared" si="6"/>
        <v>9.8279999999999994</v>
      </c>
      <c r="I36">
        <f t="shared" si="1"/>
        <v>49.14</v>
      </c>
      <c r="J36" s="4">
        <f t="shared" si="7"/>
        <v>39.311999999999998</v>
      </c>
      <c r="K36" s="8">
        <f t="shared" si="8"/>
        <v>0.79999999999999993</v>
      </c>
      <c r="L36" t="s">
        <v>11</v>
      </c>
      <c r="M36" s="2">
        <v>45677.915138888886</v>
      </c>
      <c r="N36" s="3">
        <v>45677.915138888886</v>
      </c>
      <c r="O36" t="str">
        <f t="shared" si="2"/>
        <v>Jan</v>
      </c>
      <c r="P36" t="str">
        <f t="shared" si="3"/>
        <v>Mon</v>
      </c>
      <c r="Q36" t="str">
        <f t="shared" si="4"/>
        <v>Weekday</v>
      </c>
      <c r="R36">
        <f t="shared" si="5"/>
        <v>21</v>
      </c>
      <c r="S36" t="s">
        <v>529</v>
      </c>
    </row>
    <row r="37" spans="1:19" x14ac:dyDescent="0.25">
      <c r="A37">
        <v>2849</v>
      </c>
      <c r="B37" t="s">
        <v>389</v>
      </c>
      <c r="C37" t="s">
        <v>13</v>
      </c>
      <c r="D37" t="s">
        <v>14</v>
      </c>
      <c r="E37">
        <v>1</v>
      </c>
      <c r="F37" s="4">
        <v>7.33</v>
      </c>
      <c r="G37" s="4" t="str">
        <f t="shared" si="0"/>
        <v>Budget</v>
      </c>
      <c r="H37" s="4">
        <f t="shared" si="6"/>
        <v>4.3979999999999997</v>
      </c>
      <c r="I37">
        <f t="shared" si="1"/>
        <v>7.33</v>
      </c>
      <c r="J37" s="4">
        <f t="shared" si="7"/>
        <v>2.9320000000000004</v>
      </c>
      <c r="K37" s="8">
        <f t="shared" si="8"/>
        <v>0.4</v>
      </c>
      <c r="L37" t="s">
        <v>11</v>
      </c>
      <c r="M37" s="2">
        <v>45678.465474537035</v>
      </c>
      <c r="N37" s="3">
        <v>45678.465474537035</v>
      </c>
      <c r="O37" t="str">
        <f t="shared" si="2"/>
        <v>Jan</v>
      </c>
      <c r="P37" t="str">
        <f t="shared" si="3"/>
        <v>Tue</v>
      </c>
      <c r="Q37" t="str">
        <f t="shared" si="4"/>
        <v>Weekday</v>
      </c>
      <c r="R37">
        <f t="shared" si="5"/>
        <v>11</v>
      </c>
      <c r="S37" t="s">
        <v>527</v>
      </c>
    </row>
    <row r="38" spans="1:19" x14ac:dyDescent="0.25">
      <c r="A38">
        <v>9332</v>
      </c>
      <c r="B38" t="s">
        <v>58</v>
      </c>
      <c r="C38" t="s">
        <v>21</v>
      </c>
      <c r="D38" t="s">
        <v>22</v>
      </c>
      <c r="E38">
        <v>3</v>
      </c>
      <c r="F38" s="4">
        <v>14.6</v>
      </c>
      <c r="G38" s="4" t="str">
        <f t="shared" si="0"/>
        <v>Mid-Range</v>
      </c>
      <c r="H38" s="4">
        <f t="shared" si="6"/>
        <v>8.76</v>
      </c>
      <c r="I38">
        <f t="shared" si="1"/>
        <v>43.8</v>
      </c>
      <c r="J38" s="4">
        <f t="shared" si="7"/>
        <v>35.04</v>
      </c>
      <c r="K38" s="8">
        <f t="shared" si="8"/>
        <v>0.8</v>
      </c>
      <c r="L38" t="s">
        <v>19</v>
      </c>
      <c r="M38" s="2">
        <v>45678.971134259256</v>
      </c>
      <c r="N38" s="3">
        <v>45678.971134259256</v>
      </c>
      <c r="O38" t="str">
        <f t="shared" si="2"/>
        <v>Jan</v>
      </c>
      <c r="P38" t="str">
        <f t="shared" si="3"/>
        <v>Tue</v>
      </c>
      <c r="Q38" t="str">
        <f t="shared" si="4"/>
        <v>Weekday</v>
      </c>
      <c r="R38">
        <f t="shared" si="5"/>
        <v>23</v>
      </c>
      <c r="S38" t="s">
        <v>529</v>
      </c>
    </row>
    <row r="39" spans="1:19" x14ac:dyDescent="0.25">
      <c r="A39">
        <v>4224</v>
      </c>
      <c r="B39" t="s">
        <v>391</v>
      </c>
      <c r="C39" t="s">
        <v>9</v>
      </c>
      <c r="D39" t="s">
        <v>10</v>
      </c>
      <c r="E39">
        <v>4</v>
      </c>
      <c r="F39" s="4">
        <v>24.36</v>
      </c>
      <c r="G39" s="4" t="str">
        <f t="shared" si="0"/>
        <v>Premium</v>
      </c>
      <c r="H39" s="4">
        <f t="shared" si="6"/>
        <v>14.616</v>
      </c>
      <c r="I39">
        <f t="shared" si="1"/>
        <v>97.44</v>
      </c>
      <c r="J39" s="4">
        <f t="shared" si="7"/>
        <v>82.823999999999998</v>
      </c>
      <c r="K39" s="8">
        <f t="shared" si="8"/>
        <v>0.85</v>
      </c>
      <c r="L39" t="s">
        <v>15</v>
      </c>
      <c r="M39" s="2">
        <v>45679.05201388889</v>
      </c>
      <c r="N39" s="3">
        <v>45679.05201388889</v>
      </c>
      <c r="O39" t="str">
        <f t="shared" si="2"/>
        <v>Jan</v>
      </c>
      <c r="P39" t="str">
        <f t="shared" si="3"/>
        <v>Wed</v>
      </c>
      <c r="Q39" t="str">
        <f t="shared" si="4"/>
        <v>Weekday</v>
      </c>
      <c r="R39">
        <f t="shared" si="5"/>
        <v>1</v>
      </c>
      <c r="S39" t="s">
        <v>527</v>
      </c>
    </row>
    <row r="40" spans="1:19" x14ac:dyDescent="0.25">
      <c r="A40">
        <v>9779</v>
      </c>
      <c r="B40" t="s">
        <v>183</v>
      </c>
      <c r="C40" t="s">
        <v>37</v>
      </c>
      <c r="D40" t="s">
        <v>10</v>
      </c>
      <c r="E40">
        <v>5</v>
      </c>
      <c r="F40" s="4">
        <v>9.43</v>
      </c>
      <c r="G40" s="4" t="str">
        <f t="shared" si="0"/>
        <v>Budget</v>
      </c>
      <c r="H40" s="4">
        <f t="shared" si="6"/>
        <v>5.6579999999999995</v>
      </c>
      <c r="I40">
        <f t="shared" si="1"/>
        <v>47.15</v>
      </c>
      <c r="J40" s="4">
        <f t="shared" si="7"/>
        <v>41.491999999999997</v>
      </c>
      <c r="K40" s="8">
        <f t="shared" si="8"/>
        <v>0.88</v>
      </c>
      <c r="L40" t="s">
        <v>19</v>
      </c>
      <c r="M40" s="2">
        <v>45679.366111111114</v>
      </c>
      <c r="N40" s="3">
        <v>45679.366111111114</v>
      </c>
      <c r="O40" t="str">
        <f t="shared" si="2"/>
        <v>Jan</v>
      </c>
      <c r="P40" t="str">
        <f t="shared" si="3"/>
        <v>Wed</v>
      </c>
      <c r="Q40" t="str">
        <f t="shared" si="4"/>
        <v>Weekday</v>
      </c>
      <c r="R40">
        <f t="shared" si="5"/>
        <v>8</v>
      </c>
      <c r="S40" t="s">
        <v>527</v>
      </c>
    </row>
    <row r="41" spans="1:19" x14ac:dyDescent="0.25">
      <c r="A41">
        <v>8445</v>
      </c>
      <c r="B41" t="s">
        <v>98</v>
      </c>
      <c r="C41" t="s">
        <v>13</v>
      </c>
      <c r="D41" t="s">
        <v>14</v>
      </c>
      <c r="E41">
        <v>3</v>
      </c>
      <c r="F41" s="4">
        <v>6.18</v>
      </c>
      <c r="G41" s="4" t="str">
        <f t="shared" si="0"/>
        <v>Budget</v>
      </c>
      <c r="H41" s="4">
        <f t="shared" si="6"/>
        <v>3.7079999999999997</v>
      </c>
      <c r="I41">
        <f t="shared" si="1"/>
        <v>18.54</v>
      </c>
      <c r="J41" s="4">
        <f t="shared" si="7"/>
        <v>14.831999999999999</v>
      </c>
      <c r="K41" s="8">
        <f t="shared" si="8"/>
        <v>0.79999999999999993</v>
      </c>
      <c r="L41" t="s">
        <v>11</v>
      </c>
      <c r="M41" s="2">
        <v>45679.480474537035</v>
      </c>
      <c r="N41" s="3">
        <v>45679.480474537035</v>
      </c>
      <c r="O41" t="str">
        <f t="shared" si="2"/>
        <v>Jan</v>
      </c>
      <c r="P41" t="str">
        <f t="shared" si="3"/>
        <v>Wed</v>
      </c>
      <c r="Q41" t="str">
        <f t="shared" si="4"/>
        <v>Weekday</v>
      </c>
      <c r="R41">
        <f t="shared" si="5"/>
        <v>11</v>
      </c>
      <c r="S41" t="s">
        <v>527</v>
      </c>
    </row>
    <row r="42" spans="1:19" x14ac:dyDescent="0.25">
      <c r="A42">
        <v>7725</v>
      </c>
      <c r="B42" t="s">
        <v>403</v>
      </c>
      <c r="C42" t="s">
        <v>37</v>
      </c>
      <c r="D42" t="s">
        <v>10</v>
      </c>
      <c r="E42">
        <v>2</v>
      </c>
      <c r="F42" s="4">
        <v>5.31</v>
      </c>
      <c r="G42" s="4" t="str">
        <f t="shared" si="0"/>
        <v>Budget</v>
      </c>
      <c r="H42" s="4">
        <f t="shared" si="6"/>
        <v>3.1859999999999995</v>
      </c>
      <c r="I42">
        <f t="shared" si="1"/>
        <v>10.62</v>
      </c>
      <c r="J42" s="4">
        <f t="shared" si="7"/>
        <v>7.4339999999999993</v>
      </c>
      <c r="K42" s="8">
        <f t="shared" si="8"/>
        <v>0.7</v>
      </c>
      <c r="L42" t="s">
        <v>17</v>
      </c>
      <c r="M42" s="2">
        <v>45680.624849537038</v>
      </c>
      <c r="N42" s="3">
        <v>45680.624849537038</v>
      </c>
      <c r="O42" t="str">
        <f t="shared" si="2"/>
        <v>Jan</v>
      </c>
      <c r="P42" t="str">
        <f t="shared" si="3"/>
        <v>Thu</v>
      </c>
      <c r="Q42" t="str">
        <f t="shared" si="4"/>
        <v>Weekday</v>
      </c>
      <c r="R42">
        <f t="shared" si="5"/>
        <v>14</v>
      </c>
      <c r="S42" t="s">
        <v>528</v>
      </c>
    </row>
    <row r="43" spans="1:19" x14ac:dyDescent="0.25">
      <c r="A43">
        <v>7301</v>
      </c>
      <c r="B43" t="s">
        <v>284</v>
      </c>
      <c r="C43" t="s">
        <v>35</v>
      </c>
      <c r="D43" t="s">
        <v>22</v>
      </c>
      <c r="E43">
        <v>4</v>
      </c>
      <c r="F43" s="4">
        <v>2.81</v>
      </c>
      <c r="G43" s="4" t="str">
        <f t="shared" si="0"/>
        <v>Budget</v>
      </c>
      <c r="H43" s="4">
        <f t="shared" si="6"/>
        <v>1.6859999999999999</v>
      </c>
      <c r="I43">
        <f t="shared" si="1"/>
        <v>11.24</v>
      </c>
      <c r="J43" s="4">
        <f t="shared" si="7"/>
        <v>9.5540000000000003</v>
      </c>
      <c r="K43" s="8">
        <f t="shared" si="8"/>
        <v>0.85</v>
      </c>
      <c r="L43" t="s">
        <v>17</v>
      </c>
      <c r="M43" s="2">
        <v>45681.452384259261</v>
      </c>
      <c r="N43" s="3">
        <v>45681.452384259261</v>
      </c>
      <c r="O43" t="str">
        <f t="shared" si="2"/>
        <v>Jan</v>
      </c>
      <c r="P43" t="str">
        <f t="shared" si="3"/>
        <v>Fri</v>
      </c>
      <c r="Q43" t="str">
        <f t="shared" si="4"/>
        <v>Weekend</v>
      </c>
      <c r="R43">
        <f t="shared" si="5"/>
        <v>10</v>
      </c>
      <c r="S43" t="s">
        <v>527</v>
      </c>
    </row>
    <row r="44" spans="1:19" x14ac:dyDescent="0.25">
      <c r="A44">
        <v>5324</v>
      </c>
      <c r="B44" t="s">
        <v>455</v>
      </c>
      <c r="C44" t="s">
        <v>37</v>
      </c>
      <c r="D44" t="s">
        <v>10</v>
      </c>
      <c r="E44">
        <v>1</v>
      </c>
      <c r="F44" s="4">
        <v>22.59</v>
      </c>
      <c r="G44" s="4" t="str">
        <f t="shared" si="0"/>
        <v>Premium</v>
      </c>
      <c r="H44" s="4">
        <f t="shared" si="6"/>
        <v>13.554</v>
      </c>
      <c r="I44">
        <f t="shared" si="1"/>
        <v>22.59</v>
      </c>
      <c r="J44" s="4">
        <f t="shared" si="7"/>
        <v>9.0359999999999996</v>
      </c>
      <c r="K44" s="8">
        <f t="shared" si="8"/>
        <v>0.39999999999999997</v>
      </c>
      <c r="L44" t="s">
        <v>19</v>
      </c>
      <c r="M44" s="2">
        <v>45681.828287037039</v>
      </c>
      <c r="N44" s="3">
        <v>45681.828287037039</v>
      </c>
      <c r="O44" t="str">
        <f t="shared" si="2"/>
        <v>Jan</v>
      </c>
      <c r="P44" t="str">
        <f t="shared" si="3"/>
        <v>Fri</v>
      </c>
      <c r="Q44" t="str">
        <f t="shared" si="4"/>
        <v>Weekend</v>
      </c>
      <c r="R44">
        <f t="shared" si="5"/>
        <v>19</v>
      </c>
      <c r="S44" t="s">
        <v>529</v>
      </c>
    </row>
    <row r="45" spans="1:19" x14ac:dyDescent="0.25">
      <c r="A45">
        <v>4870</v>
      </c>
      <c r="B45" t="s">
        <v>390</v>
      </c>
      <c r="C45" t="s">
        <v>28</v>
      </c>
      <c r="D45" t="s">
        <v>14</v>
      </c>
      <c r="E45">
        <v>2</v>
      </c>
      <c r="F45" s="4">
        <v>8.52</v>
      </c>
      <c r="G45" s="4" t="str">
        <f t="shared" si="0"/>
        <v>Budget</v>
      </c>
      <c r="H45" s="4">
        <f t="shared" si="6"/>
        <v>5.1119999999999992</v>
      </c>
      <c r="I45">
        <f t="shared" si="1"/>
        <v>17.04</v>
      </c>
      <c r="J45" s="4">
        <f t="shared" si="7"/>
        <v>11.928000000000001</v>
      </c>
      <c r="K45" s="8">
        <f t="shared" si="8"/>
        <v>0.70000000000000007</v>
      </c>
      <c r="L45" t="s">
        <v>19</v>
      </c>
      <c r="M45" s="2">
        <v>45682.315439814818</v>
      </c>
      <c r="N45" s="3">
        <v>45682.315439814818</v>
      </c>
      <c r="O45" t="str">
        <f t="shared" si="2"/>
        <v>Jan</v>
      </c>
      <c r="P45" t="str">
        <f t="shared" si="3"/>
        <v>Sat</v>
      </c>
      <c r="Q45" t="str">
        <f t="shared" si="4"/>
        <v>Weekend</v>
      </c>
      <c r="R45">
        <f t="shared" si="5"/>
        <v>7</v>
      </c>
      <c r="S45" t="s">
        <v>527</v>
      </c>
    </row>
    <row r="46" spans="1:19" x14ac:dyDescent="0.25">
      <c r="A46">
        <v>7720</v>
      </c>
      <c r="B46" t="s">
        <v>57</v>
      </c>
      <c r="C46" t="s">
        <v>28</v>
      </c>
      <c r="D46" t="s">
        <v>14</v>
      </c>
      <c r="E46">
        <v>1</v>
      </c>
      <c r="F46" s="4">
        <v>22.1</v>
      </c>
      <c r="G46" s="4" t="str">
        <f t="shared" si="0"/>
        <v>Premium</v>
      </c>
      <c r="H46" s="4">
        <f t="shared" si="6"/>
        <v>13.26</v>
      </c>
      <c r="I46">
        <f t="shared" si="1"/>
        <v>22.1</v>
      </c>
      <c r="J46" s="4">
        <f t="shared" si="7"/>
        <v>8.8400000000000016</v>
      </c>
      <c r="K46" s="8">
        <f t="shared" si="8"/>
        <v>0.4</v>
      </c>
      <c r="L46" t="s">
        <v>15</v>
      </c>
      <c r="M46" s="2">
        <v>45682.538831018515</v>
      </c>
      <c r="N46" s="3">
        <v>45682.538831018515</v>
      </c>
      <c r="O46" t="str">
        <f t="shared" si="2"/>
        <v>Jan</v>
      </c>
      <c r="P46" t="str">
        <f t="shared" si="3"/>
        <v>Sat</v>
      </c>
      <c r="Q46" t="str">
        <f t="shared" si="4"/>
        <v>Weekend</v>
      </c>
      <c r="R46">
        <f t="shared" si="5"/>
        <v>12</v>
      </c>
      <c r="S46" t="s">
        <v>528</v>
      </c>
    </row>
    <row r="47" spans="1:19" x14ac:dyDescent="0.25">
      <c r="A47">
        <v>5766</v>
      </c>
      <c r="B47" t="s">
        <v>355</v>
      </c>
      <c r="C47" t="s">
        <v>13</v>
      </c>
      <c r="D47" t="s">
        <v>14</v>
      </c>
      <c r="E47">
        <v>5</v>
      </c>
      <c r="F47" s="4">
        <v>6.02</v>
      </c>
      <c r="G47" s="4" t="str">
        <f t="shared" si="0"/>
        <v>Budget</v>
      </c>
      <c r="H47" s="4">
        <f t="shared" si="6"/>
        <v>3.6119999999999997</v>
      </c>
      <c r="I47">
        <f t="shared" si="1"/>
        <v>30.099999999999998</v>
      </c>
      <c r="J47" s="4">
        <f t="shared" si="7"/>
        <v>26.488</v>
      </c>
      <c r="K47" s="8">
        <f t="shared" si="8"/>
        <v>0.88</v>
      </c>
      <c r="L47" t="s">
        <v>15</v>
      </c>
      <c r="M47" s="2">
        <v>45682.859560185185</v>
      </c>
      <c r="N47" s="3">
        <v>45682.859560185185</v>
      </c>
      <c r="O47" t="str">
        <f t="shared" si="2"/>
        <v>Jan</v>
      </c>
      <c r="P47" t="str">
        <f t="shared" si="3"/>
        <v>Sat</v>
      </c>
      <c r="Q47" t="str">
        <f t="shared" si="4"/>
        <v>Weekend</v>
      </c>
      <c r="R47">
        <f t="shared" si="5"/>
        <v>20</v>
      </c>
      <c r="S47" t="s">
        <v>529</v>
      </c>
    </row>
    <row r="48" spans="1:19" x14ac:dyDescent="0.25">
      <c r="A48">
        <v>4165</v>
      </c>
      <c r="B48" t="s">
        <v>279</v>
      </c>
      <c r="C48" t="s">
        <v>30</v>
      </c>
      <c r="D48" t="s">
        <v>10</v>
      </c>
      <c r="E48">
        <v>5</v>
      </c>
      <c r="F48" s="4">
        <v>19.010000000000002</v>
      </c>
      <c r="G48" s="4" t="str">
        <f t="shared" si="0"/>
        <v>Mid-Range</v>
      </c>
      <c r="H48" s="4">
        <f t="shared" si="6"/>
        <v>11.406000000000001</v>
      </c>
      <c r="I48">
        <f t="shared" si="1"/>
        <v>95.050000000000011</v>
      </c>
      <c r="J48" s="4">
        <f t="shared" si="7"/>
        <v>83.644000000000005</v>
      </c>
      <c r="K48" s="8">
        <f t="shared" si="8"/>
        <v>0.88</v>
      </c>
      <c r="L48" t="s">
        <v>11</v>
      </c>
      <c r="M48" s="2">
        <v>45683.043553240743</v>
      </c>
      <c r="N48" s="3">
        <v>45683.043553240743</v>
      </c>
      <c r="O48" t="str">
        <f t="shared" si="2"/>
        <v>Jan</v>
      </c>
      <c r="P48" t="str">
        <f t="shared" si="3"/>
        <v>Sun</v>
      </c>
      <c r="Q48" t="str">
        <f t="shared" si="4"/>
        <v>Weekday</v>
      </c>
      <c r="R48">
        <f t="shared" si="5"/>
        <v>1</v>
      </c>
      <c r="S48" t="s">
        <v>527</v>
      </c>
    </row>
    <row r="49" spans="1:19" x14ac:dyDescent="0.25">
      <c r="A49">
        <v>3721</v>
      </c>
      <c r="B49" t="s">
        <v>181</v>
      </c>
      <c r="C49" t="s">
        <v>33</v>
      </c>
      <c r="D49" t="s">
        <v>14</v>
      </c>
      <c r="E49">
        <v>1</v>
      </c>
      <c r="F49" s="4">
        <v>21.76</v>
      </c>
      <c r="G49" s="4" t="str">
        <f t="shared" si="0"/>
        <v>Premium</v>
      </c>
      <c r="H49" s="4">
        <f t="shared" si="6"/>
        <v>13.056000000000001</v>
      </c>
      <c r="I49">
        <f t="shared" si="1"/>
        <v>21.76</v>
      </c>
      <c r="J49" s="4">
        <f t="shared" si="7"/>
        <v>8.7040000000000006</v>
      </c>
      <c r="K49" s="8">
        <f t="shared" si="8"/>
        <v>0.4</v>
      </c>
      <c r="L49" t="s">
        <v>19</v>
      </c>
      <c r="M49" s="2">
        <v>45683.170127314814</v>
      </c>
      <c r="N49" s="3">
        <v>45683.170127314814</v>
      </c>
      <c r="O49" t="str">
        <f t="shared" si="2"/>
        <v>Jan</v>
      </c>
      <c r="P49" t="str">
        <f t="shared" si="3"/>
        <v>Sun</v>
      </c>
      <c r="Q49" t="str">
        <f t="shared" si="4"/>
        <v>Weekday</v>
      </c>
      <c r="R49">
        <f t="shared" si="5"/>
        <v>4</v>
      </c>
      <c r="S49" t="s">
        <v>527</v>
      </c>
    </row>
    <row r="50" spans="1:19" x14ac:dyDescent="0.25">
      <c r="A50">
        <v>1684</v>
      </c>
      <c r="B50" t="s">
        <v>75</v>
      </c>
      <c r="C50" t="s">
        <v>28</v>
      </c>
      <c r="D50" t="s">
        <v>14</v>
      </c>
      <c r="E50">
        <v>3</v>
      </c>
      <c r="F50" s="4">
        <v>5.18</v>
      </c>
      <c r="G50" s="4" t="str">
        <f t="shared" si="0"/>
        <v>Budget</v>
      </c>
      <c r="H50" s="4">
        <f t="shared" si="6"/>
        <v>3.1079999999999997</v>
      </c>
      <c r="I50">
        <f t="shared" si="1"/>
        <v>15.54</v>
      </c>
      <c r="J50" s="4">
        <f t="shared" si="7"/>
        <v>12.431999999999999</v>
      </c>
      <c r="K50" s="8">
        <f t="shared" si="8"/>
        <v>0.79999999999999993</v>
      </c>
      <c r="L50" t="s">
        <v>15</v>
      </c>
      <c r="M50" s="2">
        <v>45684.604560185187</v>
      </c>
      <c r="N50" s="3">
        <v>45684.604560185187</v>
      </c>
      <c r="O50" t="str">
        <f t="shared" si="2"/>
        <v>Jan</v>
      </c>
      <c r="P50" t="str">
        <f t="shared" si="3"/>
        <v>Mon</v>
      </c>
      <c r="Q50" t="str">
        <f t="shared" si="4"/>
        <v>Weekday</v>
      </c>
      <c r="R50">
        <f t="shared" si="5"/>
        <v>14</v>
      </c>
      <c r="S50" t="s">
        <v>528</v>
      </c>
    </row>
    <row r="51" spans="1:19" x14ac:dyDescent="0.25">
      <c r="A51">
        <v>9319</v>
      </c>
      <c r="B51" t="s">
        <v>317</v>
      </c>
      <c r="C51" t="s">
        <v>33</v>
      </c>
      <c r="D51" t="s">
        <v>14</v>
      </c>
      <c r="E51">
        <v>4</v>
      </c>
      <c r="F51" s="4">
        <v>14.17</v>
      </c>
      <c r="G51" s="4" t="str">
        <f t="shared" si="0"/>
        <v>Mid-Range</v>
      </c>
      <c r="H51" s="4">
        <f t="shared" si="6"/>
        <v>8.5019999999999989</v>
      </c>
      <c r="I51">
        <f t="shared" si="1"/>
        <v>56.68</v>
      </c>
      <c r="J51" s="4">
        <f t="shared" si="7"/>
        <v>48.177999999999997</v>
      </c>
      <c r="K51" s="8">
        <f t="shared" si="8"/>
        <v>0.85</v>
      </c>
      <c r="L51" t="s">
        <v>19</v>
      </c>
      <c r="M51" s="2">
        <v>45685.352673611109</v>
      </c>
      <c r="N51" s="3">
        <v>45685.352673611109</v>
      </c>
      <c r="O51" t="str">
        <f t="shared" si="2"/>
        <v>Jan</v>
      </c>
      <c r="P51" t="str">
        <f t="shared" si="3"/>
        <v>Tue</v>
      </c>
      <c r="Q51" t="str">
        <f t="shared" si="4"/>
        <v>Weekday</v>
      </c>
      <c r="R51">
        <f t="shared" si="5"/>
        <v>8</v>
      </c>
      <c r="S51" t="s">
        <v>527</v>
      </c>
    </row>
    <row r="52" spans="1:19" x14ac:dyDescent="0.25">
      <c r="A52">
        <v>1964</v>
      </c>
      <c r="B52" t="s">
        <v>51</v>
      </c>
      <c r="C52" t="s">
        <v>21</v>
      </c>
      <c r="D52" t="s">
        <v>22</v>
      </c>
      <c r="E52">
        <v>3</v>
      </c>
      <c r="F52" s="4">
        <v>9.86</v>
      </c>
      <c r="G52" s="4" t="str">
        <f t="shared" si="0"/>
        <v>Budget</v>
      </c>
      <c r="H52" s="4">
        <f t="shared" si="6"/>
        <v>5.9159999999999995</v>
      </c>
      <c r="I52">
        <f t="shared" si="1"/>
        <v>29.58</v>
      </c>
      <c r="J52" s="4">
        <f t="shared" si="7"/>
        <v>23.663999999999998</v>
      </c>
      <c r="K52" s="8">
        <f t="shared" si="8"/>
        <v>0.79999999999999993</v>
      </c>
      <c r="L52" t="s">
        <v>11</v>
      </c>
      <c r="M52" s="2">
        <v>45685.367615740739</v>
      </c>
      <c r="N52" s="3">
        <v>45685.367615740739</v>
      </c>
      <c r="O52" t="str">
        <f t="shared" si="2"/>
        <v>Jan</v>
      </c>
      <c r="P52" t="str">
        <f t="shared" si="3"/>
        <v>Tue</v>
      </c>
      <c r="Q52" t="str">
        <f t="shared" si="4"/>
        <v>Weekday</v>
      </c>
      <c r="R52">
        <f t="shared" si="5"/>
        <v>8</v>
      </c>
      <c r="S52" t="s">
        <v>527</v>
      </c>
    </row>
    <row r="53" spans="1:19" x14ac:dyDescent="0.25">
      <c r="A53">
        <v>6939</v>
      </c>
      <c r="B53" t="s">
        <v>321</v>
      </c>
      <c r="C53" t="s">
        <v>35</v>
      </c>
      <c r="D53" t="s">
        <v>22</v>
      </c>
      <c r="E53">
        <v>1</v>
      </c>
      <c r="F53" s="4">
        <v>6.67</v>
      </c>
      <c r="G53" s="4" t="str">
        <f t="shared" si="0"/>
        <v>Budget</v>
      </c>
      <c r="H53" s="4">
        <f t="shared" si="6"/>
        <v>4.0019999999999998</v>
      </c>
      <c r="I53">
        <f t="shared" si="1"/>
        <v>6.67</v>
      </c>
      <c r="J53" s="4">
        <f t="shared" si="7"/>
        <v>2.6680000000000001</v>
      </c>
      <c r="K53" s="8">
        <f t="shared" si="8"/>
        <v>0.4</v>
      </c>
      <c r="L53" t="s">
        <v>17</v>
      </c>
      <c r="M53" s="2">
        <v>45685.388796296298</v>
      </c>
      <c r="N53" s="3">
        <v>45685.388796296298</v>
      </c>
      <c r="O53" t="str">
        <f t="shared" si="2"/>
        <v>Jan</v>
      </c>
      <c r="P53" t="str">
        <f t="shared" si="3"/>
        <v>Tue</v>
      </c>
      <c r="Q53" t="str">
        <f t="shared" si="4"/>
        <v>Weekday</v>
      </c>
      <c r="R53">
        <f t="shared" si="5"/>
        <v>9</v>
      </c>
      <c r="S53" t="s">
        <v>527</v>
      </c>
    </row>
    <row r="54" spans="1:19" x14ac:dyDescent="0.25">
      <c r="A54">
        <v>5080</v>
      </c>
      <c r="B54" t="s">
        <v>323</v>
      </c>
      <c r="C54" t="s">
        <v>33</v>
      </c>
      <c r="D54" t="s">
        <v>14</v>
      </c>
      <c r="E54">
        <v>2</v>
      </c>
      <c r="F54" s="4">
        <v>3.79</v>
      </c>
      <c r="G54" s="4" t="str">
        <f t="shared" si="0"/>
        <v>Budget</v>
      </c>
      <c r="H54" s="4">
        <f t="shared" si="6"/>
        <v>2.274</v>
      </c>
      <c r="I54">
        <f t="shared" si="1"/>
        <v>7.58</v>
      </c>
      <c r="J54" s="4">
        <f t="shared" si="7"/>
        <v>5.306</v>
      </c>
      <c r="K54" s="8">
        <f t="shared" si="8"/>
        <v>0.7</v>
      </c>
      <c r="L54" t="s">
        <v>15</v>
      </c>
      <c r="M54" s="2">
        <v>45685.557916666665</v>
      </c>
      <c r="N54" s="3">
        <v>45685.557916666665</v>
      </c>
      <c r="O54" t="str">
        <f t="shared" si="2"/>
        <v>Jan</v>
      </c>
      <c r="P54" t="str">
        <f t="shared" si="3"/>
        <v>Tue</v>
      </c>
      <c r="Q54" t="str">
        <f t="shared" si="4"/>
        <v>Weekday</v>
      </c>
      <c r="R54">
        <f t="shared" si="5"/>
        <v>13</v>
      </c>
      <c r="S54" t="s">
        <v>528</v>
      </c>
    </row>
    <row r="55" spans="1:19" x14ac:dyDescent="0.25">
      <c r="A55">
        <v>4908</v>
      </c>
      <c r="B55" t="s">
        <v>376</v>
      </c>
      <c r="C55" t="s">
        <v>33</v>
      </c>
      <c r="D55" t="s">
        <v>14</v>
      </c>
      <c r="E55">
        <v>4</v>
      </c>
      <c r="F55" s="4">
        <v>2.5099999999999998</v>
      </c>
      <c r="G55" s="4" t="str">
        <f t="shared" si="0"/>
        <v>Budget</v>
      </c>
      <c r="H55" s="4">
        <f t="shared" si="6"/>
        <v>1.5059999999999998</v>
      </c>
      <c r="I55">
        <f t="shared" si="1"/>
        <v>10.039999999999999</v>
      </c>
      <c r="J55" s="4">
        <f t="shared" si="7"/>
        <v>8.5339999999999989</v>
      </c>
      <c r="K55" s="8">
        <f t="shared" si="8"/>
        <v>0.85</v>
      </c>
      <c r="L55" t="s">
        <v>19</v>
      </c>
      <c r="M55" s="2">
        <v>45685.614687499998</v>
      </c>
      <c r="N55" s="3">
        <v>45685.614687499998</v>
      </c>
      <c r="O55" t="str">
        <f t="shared" si="2"/>
        <v>Jan</v>
      </c>
      <c r="P55" t="str">
        <f t="shared" si="3"/>
        <v>Tue</v>
      </c>
      <c r="Q55" t="str">
        <f t="shared" si="4"/>
        <v>Weekday</v>
      </c>
      <c r="R55">
        <f t="shared" si="5"/>
        <v>14</v>
      </c>
      <c r="S55" t="s">
        <v>528</v>
      </c>
    </row>
    <row r="56" spans="1:19" x14ac:dyDescent="0.25">
      <c r="A56">
        <v>2458</v>
      </c>
      <c r="B56" t="s">
        <v>290</v>
      </c>
      <c r="C56" t="s">
        <v>30</v>
      </c>
      <c r="D56" t="s">
        <v>10</v>
      </c>
      <c r="E56">
        <v>2</v>
      </c>
      <c r="F56" s="4">
        <v>18.829999999999998</v>
      </c>
      <c r="G56" s="4" t="str">
        <f t="shared" si="0"/>
        <v>Mid-Range</v>
      </c>
      <c r="H56" s="4">
        <f t="shared" si="6"/>
        <v>11.297999999999998</v>
      </c>
      <c r="I56">
        <f t="shared" si="1"/>
        <v>37.659999999999997</v>
      </c>
      <c r="J56" s="4">
        <f t="shared" si="7"/>
        <v>26.361999999999998</v>
      </c>
      <c r="K56" s="8">
        <f t="shared" si="8"/>
        <v>0.70000000000000007</v>
      </c>
      <c r="L56" t="s">
        <v>19</v>
      </c>
      <c r="M56" s="2">
        <v>45685.90289351852</v>
      </c>
      <c r="N56" s="3">
        <v>45685.90289351852</v>
      </c>
      <c r="O56" t="str">
        <f t="shared" si="2"/>
        <v>Jan</v>
      </c>
      <c r="P56" t="str">
        <f t="shared" si="3"/>
        <v>Tue</v>
      </c>
      <c r="Q56" t="str">
        <f t="shared" si="4"/>
        <v>Weekday</v>
      </c>
      <c r="R56">
        <f t="shared" si="5"/>
        <v>21</v>
      </c>
      <c r="S56" t="s">
        <v>529</v>
      </c>
    </row>
    <row r="57" spans="1:19" x14ac:dyDescent="0.25">
      <c r="A57">
        <v>6805</v>
      </c>
      <c r="B57" t="s">
        <v>488</v>
      </c>
      <c r="C57" t="s">
        <v>35</v>
      </c>
      <c r="D57" t="s">
        <v>22</v>
      </c>
      <c r="E57">
        <v>1</v>
      </c>
      <c r="F57" s="4">
        <v>16.32</v>
      </c>
      <c r="G57" s="4" t="str">
        <f t="shared" si="0"/>
        <v>Mid-Range</v>
      </c>
      <c r="H57" s="4">
        <f t="shared" si="6"/>
        <v>9.7919999999999998</v>
      </c>
      <c r="I57">
        <f t="shared" si="1"/>
        <v>16.32</v>
      </c>
      <c r="J57" s="4">
        <f t="shared" si="7"/>
        <v>6.5280000000000005</v>
      </c>
      <c r="K57" s="8">
        <f t="shared" si="8"/>
        <v>0.4</v>
      </c>
      <c r="L57" t="s">
        <v>17</v>
      </c>
      <c r="M57" s="2">
        <v>45686.156921296293</v>
      </c>
      <c r="N57" s="3">
        <v>45686.156921296293</v>
      </c>
      <c r="O57" t="str">
        <f t="shared" si="2"/>
        <v>Jan</v>
      </c>
      <c r="P57" t="str">
        <f t="shared" si="3"/>
        <v>Wed</v>
      </c>
      <c r="Q57" t="str">
        <f t="shared" si="4"/>
        <v>Weekday</v>
      </c>
      <c r="R57">
        <f t="shared" si="5"/>
        <v>3</v>
      </c>
      <c r="S57" t="s">
        <v>527</v>
      </c>
    </row>
    <row r="58" spans="1:19" x14ac:dyDescent="0.25">
      <c r="A58">
        <v>7016</v>
      </c>
      <c r="B58" t="s">
        <v>336</v>
      </c>
      <c r="C58" t="s">
        <v>35</v>
      </c>
      <c r="D58" t="s">
        <v>22</v>
      </c>
      <c r="E58">
        <v>5</v>
      </c>
      <c r="F58" s="4">
        <v>9</v>
      </c>
      <c r="G58" s="4" t="str">
        <f t="shared" si="0"/>
        <v>Budget</v>
      </c>
      <c r="H58" s="4">
        <f t="shared" si="6"/>
        <v>5.3999999999999995</v>
      </c>
      <c r="I58">
        <f t="shared" si="1"/>
        <v>45</v>
      </c>
      <c r="J58" s="4">
        <f t="shared" si="7"/>
        <v>39.6</v>
      </c>
      <c r="K58" s="8">
        <f t="shared" si="8"/>
        <v>0.88</v>
      </c>
      <c r="L58" t="s">
        <v>17</v>
      </c>
      <c r="M58" s="2">
        <v>45686.42328703704</v>
      </c>
      <c r="N58" s="3">
        <v>45686.42328703704</v>
      </c>
      <c r="O58" t="str">
        <f t="shared" si="2"/>
        <v>Jan</v>
      </c>
      <c r="P58" t="str">
        <f t="shared" si="3"/>
        <v>Wed</v>
      </c>
      <c r="Q58" t="str">
        <f t="shared" si="4"/>
        <v>Weekday</v>
      </c>
      <c r="R58">
        <f t="shared" si="5"/>
        <v>10</v>
      </c>
      <c r="S58" t="s">
        <v>527</v>
      </c>
    </row>
    <row r="59" spans="1:19" x14ac:dyDescent="0.25">
      <c r="A59">
        <v>6578</v>
      </c>
      <c r="B59" t="s">
        <v>304</v>
      </c>
      <c r="C59" t="s">
        <v>35</v>
      </c>
      <c r="D59" t="s">
        <v>22</v>
      </c>
      <c r="E59">
        <v>4</v>
      </c>
      <c r="F59" s="4">
        <v>16.739999999999998</v>
      </c>
      <c r="G59" s="4" t="str">
        <f t="shared" si="0"/>
        <v>Mid-Range</v>
      </c>
      <c r="H59" s="4">
        <f t="shared" si="6"/>
        <v>10.043999999999999</v>
      </c>
      <c r="I59">
        <f t="shared" si="1"/>
        <v>66.959999999999994</v>
      </c>
      <c r="J59" s="4">
        <f t="shared" si="7"/>
        <v>56.915999999999997</v>
      </c>
      <c r="K59" s="8">
        <f t="shared" si="8"/>
        <v>0.85</v>
      </c>
      <c r="L59" t="s">
        <v>11</v>
      </c>
      <c r="M59" s="2">
        <v>45686.753750000003</v>
      </c>
      <c r="N59" s="3">
        <v>45686.753750000003</v>
      </c>
      <c r="O59" t="str">
        <f t="shared" si="2"/>
        <v>Jan</v>
      </c>
      <c r="P59" t="str">
        <f t="shared" si="3"/>
        <v>Wed</v>
      </c>
      <c r="Q59" t="str">
        <f t="shared" si="4"/>
        <v>Weekday</v>
      </c>
      <c r="R59">
        <f t="shared" si="5"/>
        <v>18</v>
      </c>
      <c r="S59" t="s">
        <v>529</v>
      </c>
    </row>
    <row r="60" spans="1:19" x14ac:dyDescent="0.25">
      <c r="A60">
        <v>4050</v>
      </c>
      <c r="B60" t="s">
        <v>293</v>
      </c>
      <c r="C60" t="s">
        <v>35</v>
      </c>
      <c r="D60" t="s">
        <v>22</v>
      </c>
      <c r="E60">
        <v>5</v>
      </c>
      <c r="F60" s="4">
        <v>5.92</v>
      </c>
      <c r="G60" s="4" t="str">
        <f t="shared" si="0"/>
        <v>Budget</v>
      </c>
      <c r="H60" s="4">
        <f t="shared" si="6"/>
        <v>3.552</v>
      </c>
      <c r="I60">
        <f t="shared" si="1"/>
        <v>29.6</v>
      </c>
      <c r="J60" s="4">
        <f t="shared" si="7"/>
        <v>26.048000000000002</v>
      </c>
      <c r="K60" s="8">
        <f t="shared" si="8"/>
        <v>0.88</v>
      </c>
      <c r="L60" t="s">
        <v>19</v>
      </c>
      <c r="M60" s="2">
        <v>45688.420439814814</v>
      </c>
      <c r="N60" s="3">
        <v>45688.420439814814</v>
      </c>
      <c r="O60" t="str">
        <f t="shared" si="2"/>
        <v>Jan</v>
      </c>
      <c r="P60" t="str">
        <f t="shared" si="3"/>
        <v>Fri</v>
      </c>
      <c r="Q60" t="str">
        <f t="shared" si="4"/>
        <v>Weekend</v>
      </c>
      <c r="R60">
        <f t="shared" si="5"/>
        <v>10</v>
      </c>
      <c r="S60" t="s">
        <v>527</v>
      </c>
    </row>
    <row r="61" spans="1:19" x14ac:dyDescent="0.25">
      <c r="A61">
        <v>2945</v>
      </c>
      <c r="B61" t="s">
        <v>324</v>
      </c>
      <c r="C61" t="s">
        <v>37</v>
      </c>
      <c r="D61" t="s">
        <v>10</v>
      </c>
      <c r="E61">
        <v>5</v>
      </c>
      <c r="F61" s="4">
        <v>13.3</v>
      </c>
      <c r="G61" s="4" t="str">
        <f t="shared" si="0"/>
        <v>Mid-Range</v>
      </c>
      <c r="H61" s="4">
        <f t="shared" si="6"/>
        <v>7.98</v>
      </c>
      <c r="I61">
        <f t="shared" si="1"/>
        <v>66.5</v>
      </c>
      <c r="J61" s="4">
        <f t="shared" si="7"/>
        <v>58.519999999999996</v>
      </c>
      <c r="K61" s="8">
        <f t="shared" si="8"/>
        <v>0.87999999999999989</v>
      </c>
      <c r="L61" t="s">
        <v>11</v>
      </c>
      <c r="M61" s="2">
        <v>45689.157037037039</v>
      </c>
      <c r="N61" s="3">
        <v>45689.157037037039</v>
      </c>
      <c r="O61" t="str">
        <f t="shared" si="2"/>
        <v>Feb</v>
      </c>
      <c r="P61" t="str">
        <f t="shared" si="3"/>
        <v>Sat</v>
      </c>
      <c r="Q61" t="str">
        <f t="shared" si="4"/>
        <v>Weekend</v>
      </c>
      <c r="R61">
        <f t="shared" si="5"/>
        <v>3</v>
      </c>
      <c r="S61" t="s">
        <v>527</v>
      </c>
    </row>
    <row r="62" spans="1:19" x14ac:dyDescent="0.25">
      <c r="A62">
        <v>4860</v>
      </c>
      <c r="B62" t="s">
        <v>86</v>
      </c>
      <c r="C62" t="s">
        <v>33</v>
      </c>
      <c r="D62" t="s">
        <v>14</v>
      </c>
      <c r="E62">
        <v>3</v>
      </c>
      <c r="F62" s="4">
        <v>8.02</v>
      </c>
      <c r="G62" s="4" t="str">
        <f t="shared" si="0"/>
        <v>Budget</v>
      </c>
      <c r="H62" s="4">
        <f t="shared" si="6"/>
        <v>4.8119999999999994</v>
      </c>
      <c r="I62">
        <f t="shared" si="1"/>
        <v>24.06</v>
      </c>
      <c r="J62" s="4">
        <f t="shared" si="7"/>
        <v>19.247999999999998</v>
      </c>
      <c r="K62" s="8">
        <f t="shared" si="8"/>
        <v>0.79999999999999993</v>
      </c>
      <c r="L62" t="s">
        <v>15</v>
      </c>
      <c r="M62" s="2">
        <v>45689.181493055556</v>
      </c>
      <c r="N62" s="3">
        <v>45689.181493055556</v>
      </c>
      <c r="O62" t="str">
        <f t="shared" si="2"/>
        <v>Feb</v>
      </c>
      <c r="P62" t="str">
        <f t="shared" si="3"/>
        <v>Sat</v>
      </c>
      <c r="Q62" t="str">
        <f t="shared" si="4"/>
        <v>Weekend</v>
      </c>
      <c r="R62">
        <f t="shared" si="5"/>
        <v>4</v>
      </c>
      <c r="S62" t="s">
        <v>527</v>
      </c>
    </row>
    <row r="63" spans="1:19" x14ac:dyDescent="0.25">
      <c r="A63">
        <v>8168</v>
      </c>
      <c r="B63" t="s">
        <v>146</v>
      </c>
      <c r="C63" t="s">
        <v>40</v>
      </c>
      <c r="D63" t="s">
        <v>22</v>
      </c>
      <c r="E63">
        <v>2</v>
      </c>
      <c r="F63" s="4">
        <v>5.95</v>
      </c>
      <c r="G63" s="4" t="str">
        <f t="shared" si="0"/>
        <v>Budget</v>
      </c>
      <c r="H63" s="4">
        <f t="shared" si="6"/>
        <v>3.57</v>
      </c>
      <c r="I63">
        <f t="shared" si="1"/>
        <v>11.9</v>
      </c>
      <c r="J63" s="4">
        <f t="shared" si="7"/>
        <v>8.33</v>
      </c>
      <c r="K63" s="8">
        <f t="shared" si="8"/>
        <v>0.7</v>
      </c>
      <c r="L63" t="s">
        <v>17</v>
      </c>
      <c r="M63" s="2">
        <v>45690.072789351849</v>
      </c>
      <c r="N63" s="3">
        <v>45690.072789351849</v>
      </c>
      <c r="O63" t="str">
        <f t="shared" si="2"/>
        <v>Feb</v>
      </c>
      <c r="P63" t="str">
        <f t="shared" si="3"/>
        <v>Sun</v>
      </c>
      <c r="Q63" t="str">
        <f t="shared" si="4"/>
        <v>Weekday</v>
      </c>
      <c r="R63">
        <f t="shared" si="5"/>
        <v>1</v>
      </c>
      <c r="S63" t="s">
        <v>527</v>
      </c>
    </row>
    <row r="64" spans="1:19" x14ac:dyDescent="0.25">
      <c r="A64">
        <v>8278</v>
      </c>
      <c r="B64" t="s">
        <v>117</v>
      </c>
      <c r="C64" t="s">
        <v>13</v>
      </c>
      <c r="D64" t="s">
        <v>14</v>
      </c>
      <c r="E64">
        <v>3</v>
      </c>
      <c r="F64" s="4">
        <v>18.95</v>
      </c>
      <c r="G64" s="4" t="str">
        <f t="shared" si="0"/>
        <v>Mid-Range</v>
      </c>
      <c r="H64" s="4">
        <f t="shared" si="6"/>
        <v>11.37</v>
      </c>
      <c r="I64">
        <f t="shared" si="1"/>
        <v>56.849999999999994</v>
      </c>
      <c r="J64" s="4">
        <f t="shared" si="7"/>
        <v>45.48</v>
      </c>
      <c r="K64" s="8">
        <f t="shared" si="8"/>
        <v>0.8</v>
      </c>
      <c r="L64" t="s">
        <v>17</v>
      </c>
      <c r="M64" s="2">
        <v>45690.10434027778</v>
      </c>
      <c r="N64" s="3">
        <v>45690.10434027778</v>
      </c>
      <c r="O64" t="str">
        <f t="shared" si="2"/>
        <v>Feb</v>
      </c>
      <c r="P64" t="str">
        <f t="shared" si="3"/>
        <v>Sun</v>
      </c>
      <c r="Q64" t="str">
        <f t="shared" si="4"/>
        <v>Weekday</v>
      </c>
      <c r="R64">
        <f t="shared" si="5"/>
        <v>2</v>
      </c>
      <c r="S64" t="s">
        <v>527</v>
      </c>
    </row>
    <row r="65" spans="1:19" x14ac:dyDescent="0.25">
      <c r="A65">
        <v>3172</v>
      </c>
      <c r="B65" t="s">
        <v>178</v>
      </c>
      <c r="C65" t="s">
        <v>28</v>
      </c>
      <c r="D65" t="s">
        <v>14</v>
      </c>
      <c r="E65">
        <v>1</v>
      </c>
      <c r="F65" s="4">
        <v>4.57</v>
      </c>
      <c r="G65" s="4" t="str">
        <f t="shared" si="0"/>
        <v>Budget</v>
      </c>
      <c r="H65" s="4">
        <f t="shared" si="6"/>
        <v>2.742</v>
      </c>
      <c r="I65">
        <f t="shared" si="1"/>
        <v>4.57</v>
      </c>
      <c r="J65" s="4">
        <f t="shared" si="7"/>
        <v>1.8280000000000003</v>
      </c>
      <c r="K65" s="8">
        <f t="shared" si="8"/>
        <v>0.4</v>
      </c>
      <c r="L65" t="s">
        <v>19</v>
      </c>
      <c r="M65" s="2">
        <v>45690.202418981484</v>
      </c>
      <c r="N65" s="3">
        <v>45690.202418981484</v>
      </c>
      <c r="O65" t="str">
        <f t="shared" si="2"/>
        <v>Feb</v>
      </c>
      <c r="P65" t="str">
        <f t="shared" si="3"/>
        <v>Sun</v>
      </c>
      <c r="Q65" t="str">
        <f t="shared" si="4"/>
        <v>Weekday</v>
      </c>
      <c r="R65">
        <f t="shared" si="5"/>
        <v>4</v>
      </c>
      <c r="S65" t="s">
        <v>527</v>
      </c>
    </row>
    <row r="66" spans="1:19" x14ac:dyDescent="0.25">
      <c r="A66">
        <v>2910</v>
      </c>
      <c r="B66" t="s">
        <v>213</v>
      </c>
      <c r="C66" t="s">
        <v>21</v>
      </c>
      <c r="D66" t="s">
        <v>22</v>
      </c>
      <c r="E66">
        <v>2</v>
      </c>
      <c r="F66" s="4">
        <v>17.97</v>
      </c>
      <c r="G66" s="4" t="str">
        <f t="shared" ref="G66:G129" si="9">IF(F66&lt;10,"Budget",IF(F66&lt;20,"Mid-Range","Premium"))</f>
        <v>Mid-Range</v>
      </c>
      <c r="H66" s="4">
        <f t="shared" si="6"/>
        <v>10.781999999999998</v>
      </c>
      <c r="I66">
        <f t="shared" ref="I66:I129" si="10">E66 * F66</f>
        <v>35.94</v>
      </c>
      <c r="J66" s="4">
        <f t="shared" si="7"/>
        <v>25.158000000000001</v>
      </c>
      <c r="K66" s="8">
        <f t="shared" si="8"/>
        <v>0.70000000000000007</v>
      </c>
      <c r="L66" t="s">
        <v>19</v>
      </c>
      <c r="M66" s="2">
        <v>45690.495243055557</v>
      </c>
      <c r="N66" s="3">
        <v>45690.495243055557</v>
      </c>
      <c r="O66" t="str">
        <f t="shared" ref="O66:O129" si="11">TEXT(N66,"MMM")</f>
        <v>Feb</v>
      </c>
      <c r="P66" t="str">
        <f t="shared" ref="P66:P129" si="12">TEXT(M66, "DDD")</f>
        <v>Sun</v>
      </c>
      <c r="Q66" t="str">
        <f t="shared" ref="Q66:Q129" si="13">IF(OR(P66="Fri",P66="Sat"),"Weekend","Weekday")</f>
        <v>Weekday</v>
      </c>
      <c r="R66">
        <f t="shared" ref="R66:R129" si="14">HOUR(N66)</f>
        <v>11</v>
      </c>
      <c r="S66" t="s">
        <v>527</v>
      </c>
    </row>
    <row r="67" spans="1:19" x14ac:dyDescent="0.25">
      <c r="A67">
        <v>2268</v>
      </c>
      <c r="B67" t="s">
        <v>8</v>
      </c>
      <c r="C67" t="s">
        <v>9</v>
      </c>
      <c r="D67" t="s">
        <v>10</v>
      </c>
      <c r="E67">
        <v>5</v>
      </c>
      <c r="F67" s="4">
        <v>16.52</v>
      </c>
      <c r="G67" s="4" t="str">
        <f t="shared" si="9"/>
        <v>Mid-Range</v>
      </c>
      <c r="H67" s="4">
        <f t="shared" ref="H67:H130" si="15">60% * F67</f>
        <v>9.911999999999999</v>
      </c>
      <c r="I67">
        <f t="shared" si="10"/>
        <v>82.6</v>
      </c>
      <c r="J67" s="4">
        <f t="shared" ref="J67:J130" si="16">I67 - H67</f>
        <v>72.687999999999988</v>
      </c>
      <c r="K67" s="8">
        <f t="shared" ref="K67:K130" si="17">J67 / I67</f>
        <v>0.87999999999999989</v>
      </c>
      <c r="L67" t="s">
        <v>11</v>
      </c>
      <c r="M67" s="2">
        <v>45690.603252314817</v>
      </c>
      <c r="N67" s="3">
        <v>45690.603252314817</v>
      </c>
      <c r="O67" t="str">
        <f t="shared" si="11"/>
        <v>Feb</v>
      </c>
      <c r="P67" t="str">
        <f t="shared" si="12"/>
        <v>Sun</v>
      </c>
      <c r="Q67" t="str">
        <f t="shared" si="13"/>
        <v>Weekday</v>
      </c>
      <c r="R67">
        <f t="shared" si="14"/>
        <v>14</v>
      </c>
      <c r="S67" t="s">
        <v>528</v>
      </c>
    </row>
    <row r="68" spans="1:19" x14ac:dyDescent="0.25">
      <c r="A68">
        <v>3565</v>
      </c>
      <c r="B68" t="s">
        <v>285</v>
      </c>
      <c r="C68" t="s">
        <v>13</v>
      </c>
      <c r="D68" t="s">
        <v>14</v>
      </c>
      <c r="E68">
        <v>3</v>
      </c>
      <c r="F68" s="4">
        <v>12.74</v>
      </c>
      <c r="G68" s="4" t="str">
        <f t="shared" si="9"/>
        <v>Mid-Range</v>
      </c>
      <c r="H68" s="4">
        <f t="shared" si="15"/>
        <v>7.6440000000000001</v>
      </c>
      <c r="I68">
        <f t="shared" si="10"/>
        <v>38.22</v>
      </c>
      <c r="J68" s="4">
        <f t="shared" si="16"/>
        <v>30.576000000000001</v>
      </c>
      <c r="K68" s="8">
        <f t="shared" si="17"/>
        <v>0.8</v>
      </c>
      <c r="L68" t="s">
        <v>11</v>
      </c>
      <c r="M68" s="2">
        <v>45691.02239583333</v>
      </c>
      <c r="N68" s="3">
        <v>45691.02239583333</v>
      </c>
      <c r="O68" t="str">
        <f t="shared" si="11"/>
        <v>Feb</v>
      </c>
      <c r="P68" t="str">
        <f t="shared" si="12"/>
        <v>Mon</v>
      </c>
      <c r="Q68" t="str">
        <f t="shared" si="13"/>
        <v>Weekday</v>
      </c>
      <c r="R68">
        <f t="shared" si="14"/>
        <v>0</v>
      </c>
      <c r="S68" t="s">
        <v>527</v>
      </c>
    </row>
    <row r="69" spans="1:19" x14ac:dyDescent="0.25">
      <c r="A69">
        <v>8360</v>
      </c>
      <c r="B69" t="s">
        <v>489</v>
      </c>
      <c r="C69" t="s">
        <v>13</v>
      </c>
      <c r="D69" t="s">
        <v>14</v>
      </c>
      <c r="E69">
        <v>4</v>
      </c>
      <c r="F69" s="4">
        <v>19.7</v>
      </c>
      <c r="G69" s="4" t="str">
        <f t="shared" si="9"/>
        <v>Mid-Range</v>
      </c>
      <c r="H69" s="4">
        <f t="shared" si="15"/>
        <v>11.819999999999999</v>
      </c>
      <c r="I69">
        <f t="shared" si="10"/>
        <v>78.8</v>
      </c>
      <c r="J69" s="4">
        <f t="shared" si="16"/>
        <v>66.98</v>
      </c>
      <c r="K69" s="8">
        <f t="shared" si="17"/>
        <v>0.85000000000000009</v>
      </c>
      <c r="L69" t="s">
        <v>15</v>
      </c>
      <c r="M69" s="2">
        <v>45691.025833333333</v>
      </c>
      <c r="N69" s="3">
        <v>45691.025833333333</v>
      </c>
      <c r="O69" t="str">
        <f t="shared" si="11"/>
        <v>Feb</v>
      </c>
      <c r="P69" t="str">
        <f t="shared" si="12"/>
        <v>Mon</v>
      </c>
      <c r="Q69" t="str">
        <f t="shared" si="13"/>
        <v>Weekday</v>
      </c>
      <c r="R69">
        <f t="shared" si="14"/>
        <v>0</v>
      </c>
      <c r="S69" t="s">
        <v>527</v>
      </c>
    </row>
    <row r="70" spans="1:19" x14ac:dyDescent="0.25">
      <c r="A70">
        <v>3402</v>
      </c>
      <c r="B70" t="s">
        <v>314</v>
      </c>
      <c r="C70" t="s">
        <v>9</v>
      </c>
      <c r="D70" t="s">
        <v>10</v>
      </c>
      <c r="E70">
        <v>2</v>
      </c>
      <c r="F70" s="4">
        <v>21.07</v>
      </c>
      <c r="G70" s="4" t="str">
        <f t="shared" si="9"/>
        <v>Premium</v>
      </c>
      <c r="H70" s="4">
        <f t="shared" si="15"/>
        <v>12.641999999999999</v>
      </c>
      <c r="I70">
        <f t="shared" si="10"/>
        <v>42.14</v>
      </c>
      <c r="J70" s="4">
        <f t="shared" si="16"/>
        <v>29.498000000000001</v>
      </c>
      <c r="K70" s="8">
        <f t="shared" si="17"/>
        <v>0.70000000000000007</v>
      </c>
      <c r="L70" t="s">
        <v>11</v>
      </c>
      <c r="M70" s="2">
        <v>45692.366446759261</v>
      </c>
      <c r="N70" s="3">
        <v>45692.366446759261</v>
      </c>
      <c r="O70" t="str">
        <f t="shared" si="11"/>
        <v>Feb</v>
      </c>
      <c r="P70" t="str">
        <f t="shared" si="12"/>
        <v>Tue</v>
      </c>
      <c r="Q70" t="str">
        <f t="shared" si="13"/>
        <v>Weekday</v>
      </c>
      <c r="R70">
        <f t="shared" si="14"/>
        <v>8</v>
      </c>
      <c r="S70" t="s">
        <v>527</v>
      </c>
    </row>
    <row r="71" spans="1:19" x14ac:dyDescent="0.25">
      <c r="A71">
        <v>7716</v>
      </c>
      <c r="B71" t="s">
        <v>100</v>
      </c>
      <c r="C71" t="s">
        <v>33</v>
      </c>
      <c r="D71" t="s">
        <v>14</v>
      </c>
      <c r="E71">
        <v>3</v>
      </c>
      <c r="F71" s="4">
        <v>19.07</v>
      </c>
      <c r="G71" s="4" t="str">
        <f t="shared" si="9"/>
        <v>Mid-Range</v>
      </c>
      <c r="H71" s="4">
        <f t="shared" si="15"/>
        <v>11.442</v>
      </c>
      <c r="I71">
        <f t="shared" si="10"/>
        <v>57.21</v>
      </c>
      <c r="J71" s="4">
        <f t="shared" si="16"/>
        <v>45.768000000000001</v>
      </c>
      <c r="K71" s="8">
        <f t="shared" si="17"/>
        <v>0.8</v>
      </c>
      <c r="L71" t="s">
        <v>19</v>
      </c>
      <c r="M71" s="2">
        <v>45692.832604166666</v>
      </c>
      <c r="N71" s="3">
        <v>45692.832604166666</v>
      </c>
      <c r="O71" t="str">
        <f t="shared" si="11"/>
        <v>Feb</v>
      </c>
      <c r="P71" t="str">
        <f t="shared" si="12"/>
        <v>Tue</v>
      </c>
      <c r="Q71" t="str">
        <f t="shared" si="13"/>
        <v>Weekday</v>
      </c>
      <c r="R71">
        <f t="shared" si="14"/>
        <v>19</v>
      </c>
      <c r="S71" t="s">
        <v>529</v>
      </c>
    </row>
    <row r="72" spans="1:19" x14ac:dyDescent="0.25">
      <c r="A72">
        <v>5134</v>
      </c>
      <c r="B72" t="s">
        <v>31</v>
      </c>
      <c r="C72" t="s">
        <v>28</v>
      </c>
      <c r="D72" t="s">
        <v>14</v>
      </c>
      <c r="E72">
        <v>1</v>
      </c>
      <c r="F72" s="4">
        <v>20.73</v>
      </c>
      <c r="G72" s="4" t="str">
        <f t="shared" si="9"/>
        <v>Premium</v>
      </c>
      <c r="H72" s="4">
        <f t="shared" si="15"/>
        <v>12.438000000000001</v>
      </c>
      <c r="I72">
        <f t="shared" si="10"/>
        <v>20.73</v>
      </c>
      <c r="J72" s="4">
        <f t="shared" si="16"/>
        <v>8.2919999999999998</v>
      </c>
      <c r="K72" s="8">
        <f t="shared" si="17"/>
        <v>0.39999999999999997</v>
      </c>
      <c r="L72" t="s">
        <v>19</v>
      </c>
      <c r="M72" s="2">
        <v>45693.023946759262</v>
      </c>
      <c r="N72" s="3">
        <v>45693.023946759262</v>
      </c>
      <c r="O72" t="str">
        <f t="shared" si="11"/>
        <v>Feb</v>
      </c>
      <c r="P72" t="str">
        <f t="shared" si="12"/>
        <v>Wed</v>
      </c>
      <c r="Q72" t="str">
        <f t="shared" si="13"/>
        <v>Weekday</v>
      </c>
      <c r="R72">
        <f t="shared" si="14"/>
        <v>0</v>
      </c>
      <c r="S72" t="s">
        <v>527</v>
      </c>
    </row>
    <row r="73" spans="1:19" x14ac:dyDescent="0.25">
      <c r="A73">
        <v>2578</v>
      </c>
      <c r="B73" t="s">
        <v>493</v>
      </c>
      <c r="C73" t="s">
        <v>21</v>
      </c>
      <c r="D73" t="s">
        <v>22</v>
      </c>
      <c r="E73">
        <v>1</v>
      </c>
      <c r="F73" s="4">
        <v>24.64</v>
      </c>
      <c r="G73" s="4" t="str">
        <f t="shared" si="9"/>
        <v>Premium</v>
      </c>
      <c r="H73" s="4">
        <f t="shared" si="15"/>
        <v>14.783999999999999</v>
      </c>
      <c r="I73">
        <f t="shared" si="10"/>
        <v>24.64</v>
      </c>
      <c r="J73" s="4">
        <f t="shared" si="16"/>
        <v>9.8560000000000016</v>
      </c>
      <c r="K73" s="8">
        <f t="shared" si="17"/>
        <v>0.40000000000000008</v>
      </c>
      <c r="L73" t="s">
        <v>11</v>
      </c>
      <c r="M73" s="2">
        <v>45693.026018518518</v>
      </c>
      <c r="N73" s="3">
        <v>45693.026018518518</v>
      </c>
      <c r="O73" t="str">
        <f t="shared" si="11"/>
        <v>Feb</v>
      </c>
      <c r="P73" t="str">
        <f t="shared" si="12"/>
        <v>Wed</v>
      </c>
      <c r="Q73" t="str">
        <f t="shared" si="13"/>
        <v>Weekday</v>
      </c>
      <c r="R73">
        <f t="shared" si="14"/>
        <v>0</v>
      </c>
      <c r="S73" t="s">
        <v>527</v>
      </c>
    </row>
    <row r="74" spans="1:19" x14ac:dyDescent="0.25">
      <c r="A74">
        <v>6672</v>
      </c>
      <c r="B74" t="s">
        <v>291</v>
      </c>
      <c r="C74" t="s">
        <v>13</v>
      </c>
      <c r="D74" t="s">
        <v>14</v>
      </c>
      <c r="E74">
        <v>1</v>
      </c>
      <c r="F74" s="4">
        <v>8.92</v>
      </c>
      <c r="G74" s="4" t="str">
        <f t="shared" si="9"/>
        <v>Budget</v>
      </c>
      <c r="H74" s="4">
        <f t="shared" si="15"/>
        <v>5.3519999999999994</v>
      </c>
      <c r="I74">
        <f t="shared" si="10"/>
        <v>8.92</v>
      </c>
      <c r="J74" s="4">
        <f t="shared" si="16"/>
        <v>3.5680000000000005</v>
      </c>
      <c r="K74" s="8">
        <f t="shared" si="17"/>
        <v>0.40000000000000008</v>
      </c>
      <c r="L74" t="s">
        <v>15</v>
      </c>
      <c r="M74" s="2">
        <v>45693.062442129631</v>
      </c>
      <c r="N74" s="3">
        <v>45693.062442129631</v>
      </c>
      <c r="O74" t="str">
        <f t="shared" si="11"/>
        <v>Feb</v>
      </c>
      <c r="P74" t="str">
        <f t="shared" si="12"/>
        <v>Wed</v>
      </c>
      <c r="Q74" t="str">
        <f t="shared" si="13"/>
        <v>Weekday</v>
      </c>
      <c r="R74">
        <f t="shared" si="14"/>
        <v>1</v>
      </c>
      <c r="S74" t="s">
        <v>527</v>
      </c>
    </row>
    <row r="75" spans="1:19" x14ac:dyDescent="0.25">
      <c r="A75">
        <v>2682</v>
      </c>
      <c r="B75" t="s">
        <v>207</v>
      </c>
      <c r="C75" t="s">
        <v>37</v>
      </c>
      <c r="D75" t="s">
        <v>10</v>
      </c>
      <c r="E75">
        <v>2</v>
      </c>
      <c r="F75" s="4">
        <v>2.64</v>
      </c>
      <c r="G75" s="4" t="str">
        <f t="shared" si="9"/>
        <v>Budget</v>
      </c>
      <c r="H75" s="4">
        <f t="shared" si="15"/>
        <v>1.5840000000000001</v>
      </c>
      <c r="I75">
        <f t="shared" si="10"/>
        <v>5.28</v>
      </c>
      <c r="J75" s="4">
        <f t="shared" si="16"/>
        <v>3.6960000000000002</v>
      </c>
      <c r="K75" s="8">
        <f t="shared" si="17"/>
        <v>0.7</v>
      </c>
      <c r="L75" t="s">
        <v>19</v>
      </c>
      <c r="M75" s="2">
        <v>45693.741238425922</v>
      </c>
      <c r="N75" s="3">
        <v>45693.741238425922</v>
      </c>
      <c r="O75" t="str">
        <f t="shared" si="11"/>
        <v>Feb</v>
      </c>
      <c r="P75" t="str">
        <f t="shared" si="12"/>
        <v>Wed</v>
      </c>
      <c r="Q75" t="str">
        <f t="shared" si="13"/>
        <v>Weekday</v>
      </c>
      <c r="R75">
        <f t="shared" si="14"/>
        <v>17</v>
      </c>
      <c r="S75" t="s">
        <v>528</v>
      </c>
    </row>
    <row r="76" spans="1:19" x14ac:dyDescent="0.25">
      <c r="A76">
        <v>9963</v>
      </c>
      <c r="B76" t="s">
        <v>153</v>
      </c>
      <c r="C76" t="s">
        <v>9</v>
      </c>
      <c r="D76" t="s">
        <v>10</v>
      </c>
      <c r="E76">
        <v>4</v>
      </c>
      <c r="F76" s="4">
        <v>3.07</v>
      </c>
      <c r="G76" s="4" t="str">
        <f t="shared" si="9"/>
        <v>Budget</v>
      </c>
      <c r="H76" s="4">
        <f t="shared" si="15"/>
        <v>1.8419999999999999</v>
      </c>
      <c r="I76">
        <f t="shared" si="10"/>
        <v>12.28</v>
      </c>
      <c r="J76" s="4">
        <f t="shared" si="16"/>
        <v>10.437999999999999</v>
      </c>
      <c r="K76" s="8">
        <f t="shared" si="17"/>
        <v>0.85</v>
      </c>
      <c r="L76" t="s">
        <v>15</v>
      </c>
      <c r="M76" s="2">
        <v>45693.916631944441</v>
      </c>
      <c r="N76" s="3">
        <v>45693.916631944441</v>
      </c>
      <c r="O76" t="str">
        <f t="shared" si="11"/>
        <v>Feb</v>
      </c>
      <c r="P76" t="str">
        <f t="shared" si="12"/>
        <v>Wed</v>
      </c>
      <c r="Q76" t="str">
        <f t="shared" si="13"/>
        <v>Weekday</v>
      </c>
      <c r="R76">
        <f t="shared" si="14"/>
        <v>21</v>
      </c>
      <c r="S76" t="s">
        <v>529</v>
      </c>
    </row>
    <row r="77" spans="1:19" x14ac:dyDescent="0.25">
      <c r="A77">
        <v>5481</v>
      </c>
      <c r="B77" t="s">
        <v>211</v>
      </c>
      <c r="C77" t="s">
        <v>9</v>
      </c>
      <c r="D77" t="s">
        <v>10</v>
      </c>
      <c r="E77">
        <v>3</v>
      </c>
      <c r="F77" s="4">
        <v>18.739999999999998</v>
      </c>
      <c r="G77" s="4" t="str">
        <f t="shared" si="9"/>
        <v>Mid-Range</v>
      </c>
      <c r="H77" s="4">
        <f t="shared" si="15"/>
        <v>11.243999999999998</v>
      </c>
      <c r="I77">
        <f t="shared" si="10"/>
        <v>56.22</v>
      </c>
      <c r="J77" s="4">
        <f t="shared" si="16"/>
        <v>44.975999999999999</v>
      </c>
      <c r="K77" s="8">
        <f t="shared" si="17"/>
        <v>0.8</v>
      </c>
      <c r="L77" t="s">
        <v>19</v>
      </c>
      <c r="M77" s="2">
        <v>45693.97152777778</v>
      </c>
      <c r="N77" s="3">
        <v>45693.97152777778</v>
      </c>
      <c r="O77" t="str">
        <f t="shared" si="11"/>
        <v>Feb</v>
      </c>
      <c r="P77" t="str">
        <f t="shared" si="12"/>
        <v>Wed</v>
      </c>
      <c r="Q77" t="str">
        <f t="shared" si="13"/>
        <v>Weekday</v>
      </c>
      <c r="R77">
        <f t="shared" si="14"/>
        <v>23</v>
      </c>
      <c r="S77" t="s">
        <v>529</v>
      </c>
    </row>
    <row r="78" spans="1:19" x14ac:dyDescent="0.25">
      <c r="A78">
        <v>5594</v>
      </c>
      <c r="B78" t="s">
        <v>127</v>
      </c>
      <c r="C78" t="s">
        <v>33</v>
      </c>
      <c r="D78" t="s">
        <v>14</v>
      </c>
      <c r="E78">
        <v>5</v>
      </c>
      <c r="F78" s="4">
        <v>16.809999999999999</v>
      </c>
      <c r="G78" s="4" t="str">
        <f t="shared" si="9"/>
        <v>Mid-Range</v>
      </c>
      <c r="H78" s="4">
        <f t="shared" si="15"/>
        <v>10.085999999999999</v>
      </c>
      <c r="I78">
        <f t="shared" si="10"/>
        <v>84.05</v>
      </c>
      <c r="J78" s="4">
        <f t="shared" si="16"/>
        <v>73.963999999999999</v>
      </c>
      <c r="K78" s="8">
        <f t="shared" si="17"/>
        <v>0.88</v>
      </c>
      <c r="L78" t="s">
        <v>19</v>
      </c>
      <c r="M78" s="2">
        <v>45694.018900462965</v>
      </c>
      <c r="N78" s="3">
        <v>45694.018900462965</v>
      </c>
      <c r="O78" t="str">
        <f t="shared" si="11"/>
        <v>Feb</v>
      </c>
      <c r="P78" t="str">
        <f t="shared" si="12"/>
        <v>Thu</v>
      </c>
      <c r="Q78" t="str">
        <f t="shared" si="13"/>
        <v>Weekday</v>
      </c>
      <c r="R78">
        <f t="shared" si="14"/>
        <v>0</v>
      </c>
      <c r="S78" t="s">
        <v>527</v>
      </c>
    </row>
    <row r="79" spans="1:19" x14ac:dyDescent="0.25">
      <c r="A79">
        <v>5816</v>
      </c>
      <c r="B79" t="s">
        <v>480</v>
      </c>
      <c r="C79" t="s">
        <v>35</v>
      </c>
      <c r="D79" t="s">
        <v>22</v>
      </c>
      <c r="E79">
        <v>2</v>
      </c>
      <c r="F79" s="4">
        <v>4.4000000000000004</v>
      </c>
      <c r="G79" s="4" t="str">
        <f t="shared" si="9"/>
        <v>Budget</v>
      </c>
      <c r="H79" s="4">
        <f t="shared" si="15"/>
        <v>2.64</v>
      </c>
      <c r="I79">
        <f t="shared" si="10"/>
        <v>8.8000000000000007</v>
      </c>
      <c r="J79" s="4">
        <f t="shared" si="16"/>
        <v>6.16</v>
      </c>
      <c r="K79" s="8">
        <f t="shared" si="17"/>
        <v>0.7</v>
      </c>
      <c r="L79" t="s">
        <v>15</v>
      </c>
      <c r="M79" s="2">
        <v>45695.954375000001</v>
      </c>
      <c r="N79" s="3">
        <v>45695.954375000001</v>
      </c>
      <c r="O79" t="str">
        <f t="shared" si="11"/>
        <v>Feb</v>
      </c>
      <c r="P79" t="str">
        <f t="shared" si="12"/>
        <v>Fri</v>
      </c>
      <c r="Q79" t="str">
        <f t="shared" si="13"/>
        <v>Weekend</v>
      </c>
      <c r="R79">
        <f t="shared" si="14"/>
        <v>22</v>
      </c>
      <c r="S79" t="s">
        <v>529</v>
      </c>
    </row>
    <row r="80" spans="1:19" x14ac:dyDescent="0.25">
      <c r="A80">
        <v>3834</v>
      </c>
      <c r="B80" t="s">
        <v>370</v>
      </c>
      <c r="C80" t="s">
        <v>35</v>
      </c>
      <c r="D80" t="s">
        <v>22</v>
      </c>
      <c r="E80">
        <v>3</v>
      </c>
      <c r="F80" s="4">
        <v>7.91</v>
      </c>
      <c r="G80" s="4" t="str">
        <f t="shared" si="9"/>
        <v>Budget</v>
      </c>
      <c r="H80" s="4">
        <f t="shared" si="15"/>
        <v>4.7459999999999996</v>
      </c>
      <c r="I80">
        <f t="shared" si="10"/>
        <v>23.73</v>
      </c>
      <c r="J80" s="4">
        <f t="shared" si="16"/>
        <v>18.984000000000002</v>
      </c>
      <c r="K80" s="8">
        <f t="shared" si="17"/>
        <v>0.8</v>
      </c>
      <c r="L80" t="s">
        <v>11</v>
      </c>
      <c r="M80" s="2">
        <v>45696.171111111114</v>
      </c>
      <c r="N80" s="3">
        <v>45696.171111111114</v>
      </c>
      <c r="O80" t="str">
        <f t="shared" si="11"/>
        <v>Feb</v>
      </c>
      <c r="P80" t="str">
        <f t="shared" si="12"/>
        <v>Sat</v>
      </c>
      <c r="Q80" t="str">
        <f t="shared" si="13"/>
        <v>Weekend</v>
      </c>
      <c r="R80">
        <f t="shared" si="14"/>
        <v>4</v>
      </c>
      <c r="S80" t="s">
        <v>527</v>
      </c>
    </row>
    <row r="81" spans="1:19" x14ac:dyDescent="0.25">
      <c r="A81">
        <v>5577</v>
      </c>
      <c r="B81" t="s">
        <v>202</v>
      </c>
      <c r="C81" t="s">
        <v>9</v>
      </c>
      <c r="D81" t="s">
        <v>10</v>
      </c>
      <c r="E81">
        <v>2</v>
      </c>
      <c r="F81" s="4">
        <v>23.6</v>
      </c>
      <c r="G81" s="4" t="str">
        <f t="shared" si="9"/>
        <v>Premium</v>
      </c>
      <c r="H81" s="4">
        <f t="shared" si="15"/>
        <v>14.16</v>
      </c>
      <c r="I81">
        <f t="shared" si="10"/>
        <v>47.2</v>
      </c>
      <c r="J81" s="4">
        <f t="shared" si="16"/>
        <v>33.040000000000006</v>
      </c>
      <c r="K81" s="8">
        <f t="shared" si="17"/>
        <v>0.70000000000000007</v>
      </c>
      <c r="L81" t="s">
        <v>11</v>
      </c>
      <c r="M81" s="2">
        <v>45696.508946759262</v>
      </c>
      <c r="N81" s="3">
        <v>45696.508946759262</v>
      </c>
      <c r="O81" t="str">
        <f t="shared" si="11"/>
        <v>Feb</v>
      </c>
      <c r="P81" t="str">
        <f t="shared" si="12"/>
        <v>Sat</v>
      </c>
      <c r="Q81" t="str">
        <f t="shared" si="13"/>
        <v>Weekend</v>
      </c>
      <c r="R81">
        <f t="shared" si="14"/>
        <v>12</v>
      </c>
      <c r="S81" t="s">
        <v>528</v>
      </c>
    </row>
    <row r="82" spans="1:19" x14ac:dyDescent="0.25">
      <c r="A82">
        <v>8740</v>
      </c>
      <c r="B82" t="s">
        <v>364</v>
      </c>
      <c r="C82" t="s">
        <v>28</v>
      </c>
      <c r="D82" t="s">
        <v>14</v>
      </c>
      <c r="E82">
        <v>5</v>
      </c>
      <c r="F82" s="4">
        <v>12.26</v>
      </c>
      <c r="G82" s="4" t="str">
        <f t="shared" si="9"/>
        <v>Mid-Range</v>
      </c>
      <c r="H82" s="4">
        <f t="shared" si="15"/>
        <v>7.3559999999999999</v>
      </c>
      <c r="I82">
        <f t="shared" si="10"/>
        <v>61.3</v>
      </c>
      <c r="J82" s="4">
        <f t="shared" si="16"/>
        <v>53.943999999999996</v>
      </c>
      <c r="K82" s="8">
        <f t="shared" si="17"/>
        <v>0.88</v>
      </c>
      <c r="L82" t="s">
        <v>17</v>
      </c>
      <c r="M82" s="2">
        <v>45697.875520833331</v>
      </c>
      <c r="N82" s="3">
        <v>45697.875520833331</v>
      </c>
      <c r="O82" t="str">
        <f t="shared" si="11"/>
        <v>Feb</v>
      </c>
      <c r="P82" t="str">
        <f t="shared" si="12"/>
        <v>Sun</v>
      </c>
      <c r="Q82" t="str">
        <f t="shared" si="13"/>
        <v>Weekday</v>
      </c>
      <c r="R82">
        <f t="shared" si="14"/>
        <v>21</v>
      </c>
      <c r="S82" t="s">
        <v>529</v>
      </c>
    </row>
    <row r="83" spans="1:19" x14ac:dyDescent="0.25">
      <c r="A83">
        <v>4681</v>
      </c>
      <c r="B83" t="s">
        <v>268</v>
      </c>
      <c r="C83" t="s">
        <v>35</v>
      </c>
      <c r="D83" t="s">
        <v>22</v>
      </c>
      <c r="E83">
        <v>3</v>
      </c>
      <c r="F83" s="4">
        <v>8.73</v>
      </c>
      <c r="G83" s="4" t="str">
        <f t="shared" si="9"/>
        <v>Budget</v>
      </c>
      <c r="H83" s="4">
        <f t="shared" si="15"/>
        <v>5.2380000000000004</v>
      </c>
      <c r="I83">
        <f t="shared" si="10"/>
        <v>26.19</v>
      </c>
      <c r="J83" s="4">
        <f t="shared" si="16"/>
        <v>20.952000000000002</v>
      </c>
      <c r="K83" s="8">
        <f t="shared" si="17"/>
        <v>0.8</v>
      </c>
      <c r="L83" t="s">
        <v>17</v>
      </c>
      <c r="M83" s="2">
        <v>45697.991805555554</v>
      </c>
      <c r="N83" s="3">
        <v>45697.991805555554</v>
      </c>
      <c r="O83" t="str">
        <f t="shared" si="11"/>
        <v>Feb</v>
      </c>
      <c r="P83" t="str">
        <f t="shared" si="12"/>
        <v>Sun</v>
      </c>
      <c r="Q83" t="str">
        <f t="shared" si="13"/>
        <v>Weekday</v>
      </c>
      <c r="R83">
        <f t="shared" si="14"/>
        <v>23</v>
      </c>
      <c r="S83" t="s">
        <v>529</v>
      </c>
    </row>
    <row r="84" spans="1:19" x14ac:dyDescent="0.25">
      <c r="A84">
        <v>7161</v>
      </c>
      <c r="B84" t="s">
        <v>104</v>
      </c>
      <c r="C84" t="s">
        <v>13</v>
      </c>
      <c r="D84" t="s">
        <v>14</v>
      </c>
      <c r="E84">
        <v>4</v>
      </c>
      <c r="F84" s="4">
        <v>22.68</v>
      </c>
      <c r="G84" s="4" t="str">
        <f t="shared" si="9"/>
        <v>Premium</v>
      </c>
      <c r="H84" s="4">
        <f t="shared" si="15"/>
        <v>13.607999999999999</v>
      </c>
      <c r="I84">
        <f t="shared" si="10"/>
        <v>90.72</v>
      </c>
      <c r="J84" s="4">
        <f t="shared" si="16"/>
        <v>77.111999999999995</v>
      </c>
      <c r="K84" s="8">
        <f t="shared" si="17"/>
        <v>0.85</v>
      </c>
      <c r="L84" t="s">
        <v>19</v>
      </c>
      <c r="M84" s="2">
        <v>45698.11613425926</v>
      </c>
      <c r="N84" s="3">
        <v>45698.11613425926</v>
      </c>
      <c r="O84" t="str">
        <f t="shared" si="11"/>
        <v>Feb</v>
      </c>
      <c r="P84" t="str">
        <f t="shared" si="12"/>
        <v>Mon</v>
      </c>
      <c r="Q84" t="str">
        <f t="shared" si="13"/>
        <v>Weekday</v>
      </c>
      <c r="R84">
        <f t="shared" si="14"/>
        <v>2</v>
      </c>
      <c r="S84" t="s">
        <v>527</v>
      </c>
    </row>
    <row r="85" spans="1:19" x14ac:dyDescent="0.25">
      <c r="A85">
        <v>9130</v>
      </c>
      <c r="B85" t="s">
        <v>445</v>
      </c>
      <c r="C85" t="s">
        <v>35</v>
      </c>
      <c r="D85" t="s">
        <v>22</v>
      </c>
      <c r="E85">
        <v>4</v>
      </c>
      <c r="F85" s="4">
        <v>18.670000000000002</v>
      </c>
      <c r="G85" s="4" t="str">
        <f t="shared" si="9"/>
        <v>Mid-Range</v>
      </c>
      <c r="H85" s="4">
        <f t="shared" si="15"/>
        <v>11.202</v>
      </c>
      <c r="I85">
        <f t="shared" si="10"/>
        <v>74.680000000000007</v>
      </c>
      <c r="J85" s="4">
        <f t="shared" si="16"/>
        <v>63.478000000000009</v>
      </c>
      <c r="K85" s="8">
        <f t="shared" si="17"/>
        <v>0.85000000000000009</v>
      </c>
      <c r="L85" t="s">
        <v>19</v>
      </c>
      <c r="M85" s="2">
        <v>45698.328599537039</v>
      </c>
      <c r="N85" s="3">
        <v>45698.328599537039</v>
      </c>
      <c r="O85" t="str">
        <f t="shared" si="11"/>
        <v>Feb</v>
      </c>
      <c r="P85" t="str">
        <f t="shared" si="12"/>
        <v>Mon</v>
      </c>
      <c r="Q85" t="str">
        <f t="shared" si="13"/>
        <v>Weekday</v>
      </c>
      <c r="R85">
        <f t="shared" si="14"/>
        <v>7</v>
      </c>
      <c r="S85" t="s">
        <v>527</v>
      </c>
    </row>
    <row r="86" spans="1:19" x14ac:dyDescent="0.25">
      <c r="A86">
        <v>2447</v>
      </c>
      <c r="B86" t="s">
        <v>83</v>
      </c>
      <c r="C86" t="s">
        <v>13</v>
      </c>
      <c r="D86" t="s">
        <v>14</v>
      </c>
      <c r="E86">
        <v>2</v>
      </c>
      <c r="F86" s="4">
        <v>10.24</v>
      </c>
      <c r="G86" s="4" t="str">
        <f t="shared" si="9"/>
        <v>Mid-Range</v>
      </c>
      <c r="H86" s="4">
        <f t="shared" si="15"/>
        <v>6.1440000000000001</v>
      </c>
      <c r="I86">
        <f t="shared" si="10"/>
        <v>20.48</v>
      </c>
      <c r="J86" s="4">
        <f t="shared" si="16"/>
        <v>14.336</v>
      </c>
      <c r="K86" s="8">
        <f t="shared" si="17"/>
        <v>0.7</v>
      </c>
      <c r="L86" t="s">
        <v>15</v>
      </c>
      <c r="M86" s="2">
        <v>45698.54483796296</v>
      </c>
      <c r="N86" s="3">
        <v>45698.54483796296</v>
      </c>
      <c r="O86" t="str">
        <f t="shared" si="11"/>
        <v>Feb</v>
      </c>
      <c r="P86" t="str">
        <f t="shared" si="12"/>
        <v>Mon</v>
      </c>
      <c r="Q86" t="str">
        <f t="shared" si="13"/>
        <v>Weekday</v>
      </c>
      <c r="R86">
        <f t="shared" si="14"/>
        <v>13</v>
      </c>
      <c r="S86" t="s">
        <v>528</v>
      </c>
    </row>
    <row r="87" spans="1:19" x14ac:dyDescent="0.25">
      <c r="A87">
        <v>5946</v>
      </c>
      <c r="B87" t="s">
        <v>497</v>
      </c>
      <c r="C87" t="s">
        <v>33</v>
      </c>
      <c r="D87" t="s">
        <v>14</v>
      </c>
      <c r="E87">
        <v>1</v>
      </c>
      <c r="F87" s="4">
        <v>12.57</v>
      </c>
      <c r="G87" s="4" t="str">
        <f t="shared" si="9"/>
        <v>Mid-Range</v>
      </c>
      <c r="H87" s="4">
        <f t="shared" si="15"/>
        <v>7.5419999999999998</v>
      </c>
      <c r="I87">
        <f t="shared" si="10"/>
        <v>12.57</v>
      </c>
      <c r="J87" s="4">
        <f t="shared" si="16"/>
        <v>5.0280000000000005</v>
      </c>
      <c r="K87" s="8">
        <f t="shared" si="17"/>
        <v>0.4</v>
      </c>
      <c r="L87" t="s">
        <v>17</v>
      </c>
      <c r="M87" s="2">
        <v>45699.078148148146</v>
      </c>
      <c r="N87" s="3">
        <v>45699.078148148146</v>
      </c>
      <c r="O87" t="str">
        <f t="shared" si="11"/>
        <v>Feb</v>
      </c>
      <c r="P87" t="str">
        <f t="shared" si="12"/>
        <v>Tue</v>
      </c>
      <c r="Q87" t="str">
        <f t="shared" si="13"/>
        <v>Weekday</v>
      </c>
      <c r="R87">
        <f t="shared" si="14"/>
        <v>1</v>
      </c>
      <c r="S87" t="s">
        <v>527</v>
      </c>
    </row>
    <row r="88" spans="1:19" x14ac:dyDescent="0.25">
      <c r="A88">
        <v>2723</v>
      </c>
      <c r="B88" t="s">
        <v>386</v>
      </c>
      <c r="C88" t="s">
        <v>21</v>
      </c>
      <c r="D88" t="s">
        <v>22</v>
      </c>
      <c r="E88">
        <v>5</v>
      </c>
      <c r="F88" s="4">
        <v>12.25</v>
      </c>
      <c r="G88" s="4" t="str">
        <f t="shared" si="9"/>
        <v>Mid-Range</v>
      </c>
      <c r="H88" s="4">
        <f t="shared" si="15"/>
        <v>7.35</v>
      </c>
      <c r="I88">
        <f t="shared" si="10"/>
        <v>61.25</v>
      </c>
      <c r="J88" s="4">
        <f t="shared" si="16"/>
        <v>53.9</v>
      </c>
      <c r="K88" s="8">
        <f t="shared" si="17"/>
        <v>0.88</v>
      </c>
      <c r="L88" t="s">
        <v>19</v>
      </c>
      <c r="M88" s="2">
        <v>45699.084155092591</v>
      </c>
      <c r="N88" s="3">
        <v>45699.084155092591</v>
      </c>
      <c r="O88" t="str">
        <f t="shared" si="11"/>
        <v>Feb</v>
      </c>
      <c r="P88" t="str">
        <f t="shared" si="12"/>
        <v>Tue</v>
      </c>
      <c r="Q88" t="str">
        <f t="shared" si="13"/>
        <v>Weekday</v>
      </c>
      <c r="R88">
        <f t="shared" si="14"/>
        <v>2</v>
      </c>
      <c r="S88" t="s">
        <v>527</v>
      </c>
    </row>
    <row r="89" spans="1:19" x14ac:dyDescent="0.25">
      <c r="A89">
        <v>6116</v>
      </c>
      <c r="B89" t="s">
        <v>172</v>
      </c>
      <c r="C89" t="s">
        <v>30</v>
      </c>
      <c r="D89" t="s">
        <v>10</v>
      </c>
      <c r="E89">
        <v>5</v>
      </c>
      <c r="F89" s="4">
        <v>4.95</v>
      </c>
      <c r="G89" s="4" t="str">
        <f t="shared" si="9"/>
        <v>Budget</v>
      </c>
      <c r="H89" s="4">
        <f t="shared" si="15"/>
        <v>2.97</v>
      </c>
      <c r="I89">
        <f t="shared" si="10"/>
        <v>24.75</v>
      </c>
      <c r="J89" s="4">
        <f t="shared" si="16"/>
        <v>21.78</v>
      </c>
      <c r="K89" s="8">
        <f t="shared" si="17"/>
        <v>0.88</v>
      </c>
      <c r="L89" t="s">
        <v>19</v>
      </c>
      <c r="M89" s="2">
        <v>45699.116886574076</v>
      </c>
      <c r="N89" s="3">
        <v>45699.116886574076</v>
      </c>
      <c r="O89" t="str">
        <f t="shared" si="11"/>
        <v>Feb</v>
      </c>
      <c r="P89" t="str">
        <f t="shared" si="12"/>
        <v>Tue</v>
      </c>
      <c r="Q89" t="str">
        <f t="shared" si="13"/>
        <v>Weekday</v>
      </c>
      <c r="R89">
        <f t="shared" si="14"/>
        <v>2</v>
      </c>
      <c r="S89" t="s">
        <v>527</v>
      </c>
    </row>
    <row r="90" spans="1:19" x14ac:dyDescent="0.25">
      <c r="A90">
        <v>7705</v>
      </c>
      <c r="B90" t="s">
        <v>223</v>
      </c>
      <c r="C90" t="s">
        <v>30</v>
      </c>
      <c r="D90" t="s">
        <v>10</v>
      </c>
      <c r="E90">
        <v>5</v>
      </c>
      <c r="F90" s="4">
        <v>12.3</v>
      </c>
      <c r="G90" s="4" t="str">
        <f t="shared" si="9"/>
        <v>Mid-Range</v>
      </c>
      <c r="H90" s="4">
        <f t="shared" si="15"/>
        <v>7.38</v>
      </c>
      <c r="I90">
        <f t="shared" si="10"/>
        <v>61.5</v>
      </c>
      <c r="J90" s="4">
        <f t="shared" si="16"/>
        <v>54.12</v>
      </c>
      <c r="K90" s="8">
        <f t="shared" si="17"/>
        <v>0.88</v>
      </c>
      <c r="L90" t="s">
        <v>19</v>
      </c>
      <c r="M90" s="2">
        <v>45699.138368055559</v>
      </c>
      <c r="N90" s="3">
        <v>45699.138368055559</v>
      </c>
      <c r="O90" t="str">
        <f t="shared" si="11"/>
        <v>Feb</v>
      </c>
      <c r="P90" t="str">
        <f t="shared" si="12"/>
        <v>Tue</v>
      </c>
      <c r="Q90" t="str">
        <f t="shared" si="13"/>
        <v>Weekday</v>
      </c>
      <c r="R90">
        <f t="shared" si="14"/>
        <v>3</v>
      </c>
      <c r="S90" t="s">
        <v>527</v>
      </c>
    </row>
    <row r="91" spans="1:19" x14ac:dyDescent="0.25">
      <c r="A91">
        <v>4233</v>
      </c>
      <c r="B91" t="s">
        <v>190</v>
      </c>
      <c r="C91" t="s">
        <v>37</v>
      </c>
      <c r="D91" t="s">
        <v>10</v>
      </c>
      <c r="E91">
        <v>3</v>
      </c>
      <c r="F91" s="4">
        <v>7.71</v>
      </c>
      <c r="G91" s="4" t="str">
        <f t="shared" si="9"/>
        <v>Budget</v>
      </c>
      <c r="H91" s="4">
        <f t="shared" si="15"/>
        <v>4.6259999999999994</v>
      </c>
      <c r="I91">
        <f t="shared" si="10"/>
        <v>23.13</v>
      </c>
      <c r="J91" s="4">
        <f t="shared" si="16"/>
        <v>18.503999999999998</v>
      </c>
      <c r="K91" s="8">
        <f t="shared" si="17"/>
        <v>0.79999999999999993</v>
      </c>
      <c r="L91" t="s">
        <v>15</v>
      </c>
      <c r="M91" s="2">
        <v>45699.868136574078</v>
      </c>
      <c r="N91" s="3">
        <v>45699.868136574078</v>
      </c>
      <c r="O91" t="str">
        <f t="shared" si="11"/>
        <v>Feb</v>
      </c>
      <c r="P91" t="str">
        <f t="shared" si="12"/>
        <v>Tue</v>
      </c>
      <c r="Q91" t="str">
        <f t="shared" si="13"/>
        <v>Weekday</v>
      </c>
      <c r="R91">
        <f t="shared" si="14"/>
        <v>20</v>
      </c>
      <c r="S91" t="s">
        <v>529</v>
      </c>
    </row>
    <row r="92" spans="1:19" x14ac:dyDescent="0.25">
      <c r="A92">
        <v>2535</v>
      </c>
      <c r="B92" t="s">
        <v>93</v>
      </c>
      <c r="C92" t="s">
        <v>9</v>
      </c>
      <c r="D92" t="s">
        <v>10</v>
      </c>
      <c r="E92">
        <v>2</v>
      </c>
      <c r="F92" s="4">
        <v>4.9000000000000004</v>
      </c>
      <c r="G92" s="4" t="str">
        <f t="shared" si="9"/>
        <v>Budget</v>
      </c>
      <c r="H92" s="4">
        <f t="shared" si="15"/>
        <v>2.94</v>
      </c>
      <c r="I92">
        <f t="shared" si="10"/>
        <v>9.8000000000000007</v>
      </c>
      <c r="J92" s="4">
        <f t="shared" si="16"/>
        <v>6.8600000000000012</v>
      </c>
      <c r="K92" s="8">
        <f t="shared" si="17"/>
        <v>0.70000000000000007</v>
      </c>
      <c r="L92" t="s">
        <v>19</v>
      </c>
      <c r="M92" s="2">
        <v>45700.208495370367</v>
      </c>
      <c r="N92" s="3">
        <v>45700.208495370367</v>
      </c>
      <c r="O92" t="str">
        <f t="shared" si="11"/>
        <v>Feb</v>
      </c>
      <c r="P92" t="str">
        <f t="shared" si="12"/>
        <v>Wed</v>
      </c>
      <c r="Q92" t="str">
        <f t="shared" si="13"/>
        <v>Weekday</v>
      </c>
      <c r="R92">
        <f t="shared" si="14"/>
        <v>5</v>
      </c>
      <c r="S92" t="s">
        <v>527</v>
      </c>
    </row>
    <row r="93" spans="1:19" x14ac:dyDescent="0.25">
      <c r="A93">
        <v>1868</v>
      </c>
      <c r="B93" t="s">
        <v>218</v>
      </c>
      <c r="C93" t="s">
        <v>37</v>
      </c>
      <c r="D93" t="s">
        <v>10</v>
      </c>
      <c r="E93">
        <v>4</v>
      </c>
      <c r="F93" s="4">
        <v>11.07</v>
      </c>
      <c r="G93" s="4" t="str">
        <f t="shared" si="9"/>
        <v>Mid-Range</v>
      </c>
      <c r="H93" s="4">
        <f t="shared" si="15"/>
        <v>6.6420000000000003</v>
      </c>
      <c r="I93">
        <f t="shared" si="10"/>
        <v>44.28</v>
      </c>
      <c r="J93" s="4">
        <f t="shared" si="16"/>
        <v>37.637999999999998</v>
      </c>
      <c r="K93" s="8">
        <f t="shared" si="17"/>
        <v>0.85</v>
      </c>
      <c r="L93" t="s">
        <v>17</v>
      </c>
      <c r="M93" s="2">
        <v>45700.268587962964</v>
      </c>
      <c r="N93" s="3">
        <v>45700.268587962964</v>
      </c>
      <c r="O93" t="str">
        <f t="shared" si="11"/>
        <v>Feb</v>
      </c>
      <c r="P93" t="str">
        <f t="shared" si="12"/>
        <v>Wed</v>
      </c>
      <c r="Q93" t="str">
        <f t="shared" si="13"/>
        <v>Weekday</v>
      </c>
      <c r="R93">
        <f t="shared" si="14"/>
        <v>6</v>
      </c>
      <c r="S93" t="s">
        <v>527</v>
      </c>
    </row>
    <row r="94" spans="1:19" x14ac:dyDescent="0.25">
      <c r="A94">
        <v>8676</v>
      </c>
      <c r="B94" t="s">
        <v>251</v>
      </c>
      <c r="C94" t="s">
        <v>30</v>
      </c>
      <c r="D94" t="s">
        <v>10</v>
      </c>
      <c r="E94">
        <v>3</v>
      </c>
      <c r="F94" s="4">
        <v>11.5</v>
      </c>
      <c r="G94" s="4" t="str">
        <f t="shared" si="9"/>
        <v>Mid-Range</v>
      </c>
      <c r="H94" s="4">
        <f t="shared" si="15"/>
        <v>6.8999999999999995</v>
      </c>
      <c r="I94">
        <f t="shared" si="10"/>
        <v>34.5</v>
      </c>
      <c r="J94" s="4">
        <f t="shared" si="16"/>
        <v>27.6</v>
      </c>
      <c r="K94" s="8">
        <f t="shared" si="17"/>
        <v>0.8</v>
      </c>
      <c r="L94" t="s">
        <v>15</v>
      </c>
      <c r="M94" s="2">
        <v>45700.588113425925</v>
      </c>
      <c r="N94" s="3">
        <v>45700.588113425925</v>
      </c>
      <c r="O94" t="str">
        <f t="shared" si="11"/>
        <v>Feb</v>
      </c>
      <c r="P94" t="str">
        <f t="shared" si="12"/>
        <v>Wed</v>
      </c>
      <c r="Q94" t="str">
        <f t="shared" si="13"/>
        <v>Weekday</v>
      </c>
      <c r="R94">
        <f t="shared" si="14"/>
        <v>14</v>
      </c>
      <c r="S94" t="s">
        <v>528</v>
      </c>
    </row>
    <row r="95" spans="1:19" x14ac:dyDescent="0.25">
      <c r="A95">
        <v>5227</v>
      </c>
      <c r="B95" t="s">
        <v>514</v>
      </c>
      <c r="C95" t="s">
        <v>21</v>
      </c>
      <c r="D95" t="s">
        <v>22</v>
      </c>
      <c r="E95">
        <v>4</v>
      </c>
      <c r="F95" s="4">
        <v>13.64</v>
      </c>
      <c r="G95" s="4" t="str">
        <f t="shared" si="9"/>
        <v>Mid-Range</v>
      </c>
      <c r="H95" s="4">
        <f t="shared" si="15"/>
        <v>8.1839999999999993</v>
      </c>
      <c r="I95">
        <f t="shared" si="10"/>
        <v>54.56</v>
      </c>
      <c r="J95" s="4">
        <f t="shared" si="16"/>
        <v>46.376000000000005</v>
      </c>
      <c r="K95" s="8">
        <f t="shared" si="17"/>
        <v>0.85000000000000009</v>
      </c>
      <c r="L95" t="s">
        <v>19</v>
      </c>
      <c r="M95" s="2">
        <v>45700.759189814817</v>
      </c>
      <c r="N95" s="3">
        <v>45700.759189814817</v>
      </c>
      <c r="O95" t="str">
        <f t="shared" si="11"/>
        <v>Feb</v>
      </c>
      <c r="P95" t="str">
        <f t="shared" si="12"/>
        <v>Wed</v>
      </c>
      <c r="Q95" t="str">
        <f t="shared" si="13"/>
        <v>Weekday</v>
      </c>
      <c r="R95">
        <f t="shared" si="14"/>
        <v>18</v>
      </c>
      <c r="S95" t="s">
        <v>529</v>
      </c>
    </row>
    <row r="96" spans="1:19" x14ac:dyDescent="0.25">
      <c r="A96">
        <v>9207</v>
      </c>
      <c r="B96" t="s">
        <v>452</v>
      </c>
      <c r="C96" t="s">
        <v>13</v>
      </c>
      <c r="D96" t="s">
        <v>14</v>
      </c>
      <c r="E96">
        <v>4</v>
      </c>
      <c r="F96" s="4">
        <v>13.24</v>
      </c>
      <c r="G96" s="4" t="str">
        <f t="shared" si="9"/>
        <v>Mid-Range</v>
      </c>
      <c r="H96" s="4">
        <f t="shared" si="15"/>
        <v>7.944</v>
      </c>
      <c r="I96">
        <f t="shared" si="10"/>
        <v>52.96</v>
      </c>
      <c r="J96" s="4">
        <f t="shared" si="16"/>
        <v>45.015999999999998</v>
      </c>
      <c r="K96" s="8">
        <f t="shared" si="17"/>
        <v>0.85</v>
      </c>
      <c r="L96" t="s">
        <v>11</v>
      </c>
      <c r="M96" s="2">
        <v>45701.053020833337</v>
      </c>
      <c r="N96" s="3">
        <v>45701.053020833337</v>
      </c>
      <c r="O96" t="str">
        <f t="shared" si="11"/>
        <v>Feb</v>
      </c>
      <c r="P96" t="str">
        <f t="shared" si="12"/>
        <v>Thu</v>
      </c>
      <c r="Q96" t="str">
        <f t="shared" si="13"/>
        <v>Weekday</v>
      </c>
      <c r="R96">
        <f t="shared" si="14"/>
        <v>1</v>
      </c>
      <c r="S96" t="s">
        <v>527</v>
      </c>
    </row>
    <row r="97" spans="1:19" x14ac:dyDescent="0.25">
      <c r="A97">
        <v>6776</v>
      </c>
      <c r="B97" t="s">
        <v>266</v>
      </c>
      <c r="C97" t="s">
        <v>21</v>
      </c>
      <c r="D97" t="s">
        <v>22</v>
      </c>
      <c r="E97">
        <v>5</v>
      </c>
      <c r="F97" s="4">
        <v>22.33</v>
      </c>
      <c r="G97" s="4" t="str">
        <f t="shared" si="9"/>
        <v>Premium</v>
      </c>
      <c r="H97" s="4">
        <f t="shared" si="15"/>
        <v>13.397999999999998</v>
      </c>
      <c r="I97">
        <f t="shared" si="10"/>
        <v>111.64999999999999</v>
      </c>
      <c r="J97" s="4">
        <f t="shared" si="16"/>
        <v>98.251999999999995</v>
      </c>
      <c r="K97" s="8">
        <f t="shared" si="17"/>
        <v>0.88</v>
      </c>
      <c r="L97" t="s">
        <v>19</v>
      </c>
      <c r="M97" s="2">
        <v>45701.739270833335</v>
      </c>
      <c r="N97" s="3">
        <v>45701.739270833335</v>
      </c>
      <c r="O97" t="str">
        <f t="shared" si="11"/>
        <v>Feb</v>
      </c>
      <c r="P97" t="str">
        <f t="shared" si="12"/>
        <v>Thu</v>
      </c>
      <c r="Q97" t="str">
        <f t="shared" si="13"/>
        <v>Weekday</v>
      </c>
      <c r="R97">
        <f t="shared" si="14"/>
        <v>17</v>
      </c>
      <c r="S97" t="s">
        <v>528</v>
      </c>
    </row>
    <row r="98" spans="1:19" x14ac:dyDescent="0.25">
      <c r="A98">
        <v>7969</v>
      </c>
      <c r="B98" t="s">
        <v>170</v>
      </c>
      <c r="C98" t="s">
        <v>30</v>
      </c>
      <c r="D98" t="s">
        <v>10</v>
      </c>
      <c r="E98">
        <v>4</v>
      </c>
      <c r="F98" s="4">
        <v>13.99</v>
      </c>
      <c r="G98" s="4" t="str">
        <f t="shared" si="9"/>
        <v>Mid-Range</v>
      </c>
      <c r="H98" s="4">
        <f t="shared" si="15"/>
        <v>8.3940000000000001</v>
      </c>
      <c r="I98">
        <f t="shared" si="10"/>
        <v>55.96</v>
      </c>
      <c r="J98" s="4">
        <f t="shared" si="16"/>
        <v>47.566000000000003</v>
      </c>
      <c r="K98" s="8">
        <f t="shared" si="17"/>
        <v>0.85</v>
      </c>
      <c r="L98" t="s">
        <v>17</v>
      </c>
      <c r="M98" s="2">
        <v>45702.200104166666</v>
      </c>
      <c r="N98" s="3">
        <v>45702.200104166666</v>
      </c>
      <c r="O98" t="str">
        <f t="shared" si="11"/>
        <v>Feb</v>
      </c>
      <c r="P98" t="str">
        <f t="shared" si="12"/>
        <v>Fri</v>
      </c>
      <c r="Q98" t="str">
        <f t="shared" si="13"/>
        <v>Weekend</v>
      </c>
      <c r="R98">
        <f t="shared" si="14"/>
        <v>4</v>
      </c>
      <c r="S98" t="s">
        <v>527</v>
      </c>
    </row>
    <row r="99" spans="1:19" x14ac:dyDescent="0.25">
      <c r="A99">
        <v>4937</v>
      </c>
      <c r="B99" t="s">
        <v>335</v>
      </c>
      <c r="C99" t="s">
        <v>28</v>
      </c>
      <c r="D99" t="s">
        <v>14</v>
      </c>
      <c r="E99">
        <v>5</v>
      </c>
      <c r="F99" s="4">
        <v>16.07</v>
      </c>
      <c r="G99" s="4" t="str">
        <f t="shared" si="9"/>
        <v>Mid-Range</v>
      </c>
      <c r="H99" s="4">
        <f t="shared" si="15"/>
        <v>9.6419999999999995</v>
      </c>
      <c r="I99">
        <f t="shared" si="10"/>
        <v>80.349999999999994</v>
      </c>
      <c r="J99" s="4">
        <f t="shared" si="16"/>
        <v>70.707999999999998</v>
      </c>
      <c r="K99" s="8">
        <f t="shared" si="17"/>
        <v>0.88</v>
      </c>
      <c r="L99" t="s">
        <v>17</v>
      </c>
      <c r="M99" s="2">
        <v>45703.027048611111</v>
      </c>
      <c r="N99" s="3">
        <v>45703.027048611111</v>
      </c>
      <c r="O99" t="str">
        <f t="shared" si="11"/>
        <v>Feb</v>
      </c>
      <c r="P99" t="str">
        <f t="shared" si="12"/>
        <v>Sat</v>
      </c>
      <c r="Q99" t="str">
        <f t="shared" si="13"/>
        <v>Weekend</v>
      </c>
      <c r="R99">
        <f t="shared" si="14"/>
        <v>0</v>
      </c>
      <c r="S99" t="s">
        <v>527</v>
      </c>
    </row>
    <row r="100" spans="1:19" x14ac:dyDescent="0.25">
      <c r="A100">
        <v>2233</v>
      </c>
      <c r="B100" t="s">
        <v>188</v>
      </c>
      <c r="C100" t="s">
        <v>28</v>
      </c>
      <c r="D100" t="s">
        <v>14</v>
      </c>
      <c r="E100">
        <v>3</v>
      </c>
      <c r="F100" s="4">
        <v>17.260000000000002</v>
      </c>
      <c r="G100" s="4" t="str">
        <f t="shared" si="9"/>
        <v>Mid-Range</v>
      </c>
      <c r="H100" s="4">
        <f t="shared" si="15"/>
        <v>10.356</v>
      </c>
      <c r="I100">
        <f t="shared" si="10"/>
        <v>51.78</v>
      </c>
      <c r="J100" s="4">
        <f t="shared" si="16"/>
        <v>41.423999999999999</v>
      </c>
      <c r="K100" s="8">
        <f t="shared" si="17"/>
        <v>0.79999999999999993</v>
      </c>
      <c r="L100" t="s">
        <v>11</v>
      </c>
      <c r="M100" s="2">
        <v>45703.637002314812</v>
      </c>
      <c r="N100" s="3">
        <v>45703.637002314812</v>
      </c>
      <c r="O100" t="str">
        <f t="shared" si="11"/>
        <v>Feb</v>
      </c>
      <c r="P100" t="str">
        <f t="shared" si="12"/>
        <v>Sat</v>
      </c>
      <c r="Q100" t="str">
        <f t="shared" si="13"/>
        <v>Weekend</v>
      </c>
      <c r="R100">
        <f t="shared" si="14"/>
        <v>15</v>
      </c>
      <c r="S100" t="s">
        <v>528</v>
      </c>
    </row>
    <row r="101" spans="1:19" x14ac:dyDescent="0.25">
      <c r="A101">
        <v>3162</v>
      </c>
      <c r="B101" t="s">
        <v>197</v>
      </c>
      <c r="C101" t="s">
        <v>40</v>
      </c>
      <c r="D101" t="s">
        <v>22</v>
      </c>
      <c r="E101">
        <v>5</v>
      </c>
      <c r="F101" s="4">
        <v>21.15</v>
      </c>
      <c r="G101" s="4" t="str">
        <f t="shared" si="9"/>
        <v>Premium</v>
      </c>
      <c r="H101" s="4">
        <f t="shared" si="15"/>
        <v>12.69</v>
      </c>
      <c r="I101">
        <f t="shared" si="10"/>
        <v>105.75</v>
      </c>
      <c r="J101" s="4">
        <f t="shared" si="16"/>
        <v>93.06</v>
      </c>
      <c r="K101" s="8">
        <f t="shared" si="17"/>
        <v>0.88</v>
      </c>
      <c r="L101" t="s">
        <v>17</v>
      </c>
      <c r="M101" s="2">
        <v>45703.747175925928</v>
      </c>
      <c r="N101" s="3">
        <v>45703.747175925928</v>
      </c>
      <c r="O101" t="str">
        <f t="shared" si="11"/>
        <v>Feb</v>
      </c>
      <c r="P101" t="str">
        <f t="shared" si="12"/>
        <v>Sat</v>
      </c>
      <c r="Q101" t="str">
        <f t="shared" si="13"/>
        <v>Weekend</v>
      </c>
      <c r="R101">
        <f t="shared" si="14"/>
        <v>17</v>
      </c>
      <c r="S101" t="s">
        <v>528</v>
      </c>
    </row>
    <row r="102" spans="1:19" x14ac:dyDescent="0.25">
      <c r="A102">
        <v>2443</v>
      </c>
      <c r="B102" t="s">
        <v>357</v>
      </c>
      <c r="C102" t="s">
        <v>37</v>
      </c>
      <c r="D102" t="s">
        <v>10</v>
      </c>
      <c r="E102">
        <v>1</v>
      </c>
      <c r="F102" s="4">
        <v>5.37</v>
      </c>
      <c r="G102" s="4" t="str">
        <f t="shared" si="9"/>
        <v>Budget</v>
      </c>
      <c r="H102" s="4">
        <f t="shared" si="15"/>
        <v>3.222</v>
      </c>
      <c r="I102">
        <f t="shared" si="10"/>
        <v>5.37</v>
      </c>
      <c r="J102" s="4">
        <f t="shared" si="16"/>
        <v>2.1480000000000001</v>
      </c>
      <c r="K102" s="8">
        <f t="shared" si="17"/>
        <v>0.4</v>
      </c>
      <c r="L102" t="s">
        <v>17</v>
      </c>
      <c r="M102" s="2">
        <v>45703.949363425927</v>
      </c>
      <c r="N102" s="3">
        <v>45703.949363425927</v>
      </c>
      <c r="O102" t="str">
        <f t="shared" si="11"/>
        <v>Feb</v>
      </c>
      <c r="P102" t="str">
        <f t="shared" si="12"/>
        <v>Sat</v>
      </c>
      <c r="Q102" t="str">
        <f t="shared" si="13"/>
        <v>Weekend</v>
      </c>
      <c r="R102">
        <f t="shared" si="14"/>
        <v>22</v>
      </c>
      <c r="S102" t="s">
        <v>529</v>
      </c>
    </row>
    <row r="103" spans="1:19" x14ac:dyDescent="0.25">
      <c r="A103">
        <v>6080</v>
      </c>
      <c r="B103" t="s">
        <v>118</v>
      </c>
      <c r="C103" t="s">
        <v>28</v>
      </c>
      <c r="D103" t="s">
        <v>14</v>
      </c>
      <c r="E103">
        <v>5</v>
      </c>
      <c r="F103" s="4">
        <v>20.81</v>
      </c>
      <c r="G103" s="4" t="str">
        <f t="shared" si="9"/>
        <v>Premium</v>
      </c>
      <c r="H103" s="4">
        <f t="shared" si="15"/>
        <v>12.485999999999999</v>
      </c>
      <c r="I103">
        <f t="shared" si="10"/>
        <v>104.05</v>
      </c>
      <c r="J103" s="4">
        <f t="shared" si="16"/>
        <v>91.563999999999993</v>
      </c>
      <c r="K103" s="8">
        <f t="shared" si="17"/>
        <v>0.88</v>
      </c>
      <c r="L103" t="s">
        <v>15</v>
      </c>
      <c r="M103" s="2">
        <v>45705.402361111112</v>
      </c>
      <c r="N103" s="3">
        <v>45705.402361111112</v>
      </c>
      <c r="O103" t="str">
        <f t="shared" si="11"/>
        <v>Feb</v>
      </c>
      <c r="P103" t="str">
        <f t="shared" si="12"/>
        <v>Mon</v>
      </c>
      <c r="Q103" t="str">
        <f t="shared" si="13"/>
        <v>Weekday</v>
      </c>
      <c r="R103">
        <f t="shared" si="14"/>
        <v>9</v>
      </c>
      <c r="S103" t="s">
        <v>527</v>
      </c>
    </row>
    <row r="104" spans="1:19" x14ac:dyDescent="0.25">
      <c r="A104">
        <v>5293</v>
      </c>
      <c r="B104" t="s">
        <v>342</v>
      </c>
      <c r="C104" t="s">
        <v>37</v>
      </c>
      <c r="D104" t="s">
        <v>10</v>
      </c>
      <c r="E104">
        <v>3</v>
      </c>
      <c r="F104" s="4">
        <v>19.29</v>
      </c>
      <c r="G104" s="4" t="str">
        <f t="shared" si="9"/>
        <v>Mid-Range</v>
      </c>
      <c r="H104" s="4">
        <f t="shared" si="15"/>
        <v>11.574</v>
      </c>
      <c r="I104">
        <f t="shared" si="10"/>
        <v>57.87</v>
      </c>
      <c r="J104" s="4">
        <f t="shared" si="16"/>
        <v>46.295999999999999</v>
      </c>
      <c r="K104" s="8">
        <f t="shared" si="17"/>
        <v>0.8</v>
      </c>
      <c r="L104" t="s">
        <v>17</v>
      </c>
      <c r="M104" s="2">
        <v>45706.360590277778</v>
      </c>
      <c r="N104" s="3">
        <v>45706.360590277778</v>
      </c>
      <c r="O104" t="str">
        <f t="shared" si="11"/>
        <v>Feb</v>
      </c>
      <c r="P104" t="str">
        <f t="shared" si="12"/>
        <v>Tue</v>
      </c>
      <c r="Q104" t="str">
        <f t="shared" si="13"/>
        <v>Weekday</v>
      </c>
      <c r="R104">
        <f t="shared" si="14"/>
        <v>8</v>
      </c>
      <c r="S104" t="s">
        <v>527</v>
      </c>
    </row>
    <row r="105" spans="1:19" x14ac:dyDescent="0.25">
      <c r="A105">
        <v>7606</v>
      </c>
      <c r="B105" t="s">
        <v>56</v>
      </c>
      <c r="C105" t="s">
        <v>37</v>
      </c>
      <c r="D105" t="s">
        <v>10</v>
      </c>
      <c r="E105">
        <v>3</v>
      </c>
      <c r="F105" s="4">
        <v>19.670000000000002</v>
      </c>
      <c r="G105" s="4" t="str">
        <f t="shared" si="9"/>
        <v>Mid-Range</v>
      </c>
      <c r="H105" s="4">
        <f t="shared" si="15"/>
        <v>11.802000000000001</v>
      </c>
      <c r="I105">
        <f t="shared" si="10"/>
        <v>59.010000000000005</v>
      </c>
      <c r="J105" s="4">
        <f t="shared" si="16"/>
        <v>47.208000000000006</v>
      </c>
      <c r="K105" s="8">
        <f t="shared" si="17"/>
        <v>0.8</v>
      </c>
      <c r="L105" t="s">
        <v>15</v>
      </c>
      <c r="M105" s="2">
        <v>45706.841064814813</v>
      </c>
      <c r="N105" s="3">
        <v>45706.841064814813</v>
      </c>
      <c r="O105" t="str">
        <f t="shared" si="11"/>
        <v>Feb</v>
      </c>
      <c r="P105" t="str">
        <f t="shared" si="12"/>
        <v>Tue</v>
      </c>
      <c r="Q105" t="str">
        <f t="shared" si="13"/>
        <v>Weekday</v>
      </c>
      <c r="R105">
        <f t="shared" si="14"/>
        <v>20</v>
      </c>
      <c r="S105" t="s">
        <v>529</v>
      </c>
    </row>
    <row r="106" spans="1:19" x14ac:dyDescent="0.25">
      <c r="A106">
        <v>5467</v>
      </c>
      <c r="B106" t="s">
        <v>392</v>
      </c>
      <c r="C106" t="s">
        <v>35</v>
      </c>
      <c r="D106" t="s">
        <v>22</v>
      </c>
      <c r="E106">
        <v>2</v>
      </c>
      <c r="F106" s="4">
        <v>6.3</v>
      </c>
      <c r="G106" s="4" t="str">
        <f t="shared" si="9"/>
        <v>Budget</v>
      </c>
      <c r="H106" s="4">
        <f t="shared" si="15"/>
        <v>3.78</v>
      </c>
      <c r="I106">
        <f t="shared" si="10"/>
        <v>12.6</v>
      </c>
      <c r="J106" s="4">
        <f t="shared" si="16"/>
        <v>8.82</v>
      </c>
      <c r="K106" s="8">
        <f t="shared" si="17"/>
        <v>0.70000000000000007</v>
      </c>
      <c r="L106" t="s">
        <v>15</v>
      </c>
      <c r="M106" s="2">
        <v>45707.563449074078</v>
      </c>
      <c r="N106" s="3">
        <v>45707.563449074078</v>
      </c>
      <c r="O106" t="str">
        <f t="shared" si="11"/>
        <v>Feb</v>
      </c>
      <c r="P106" t="str">
        <f t="shared" si="12"/>
        <v>Wed</v>
      </c>
      <c r="Q106" t="str">
        <f t="shared" si="13"/>
        <v>Weekday</v>
      </c>
      <c r="R106">
        <f t="shared" si="14"/>
        <v>13</v>
      </c>
      <c r="S106" t="s">
        <v>528</v>
      </c>
    </row>
    <row r="107" spans="1:19" x14ac:dyDescent="0.25">
      <c r="A107">
        <v>9428</v>
      </c>
      <c r="B107" t="s">
        <v>76</v>
      </c>
      <c r="C107" t="s">
        <v>40</v>
      </c>
      <c r="D107" t="s">
        <v>22</v>
      </c>
      <c r="E107">
        <v>5</v>
      </c>
      <c r="F107" s="4">
        <v>3.53</v>
      </c>
      <c r="G107" s="4" t="str">
        <f t="shared" si="9"/>
        <v>Budget</v>
      </c>
      <c r="H107" s="4">
        <f t="shared" si="15"/>
        <v>2.1179999999999999</v>
      </c>
      <c r="I107">
        <f t="shared" si="10"/>
        <v>17.649999999999999</v>
      </c>
      <c r="J107" s="4">
        <f t="shared" si="16"/>
        <v>15.531999999999998</v>
      </c>
      <c r="K107" s="8">
        <f t="shared" si="17"/>
        <v>0.88</v>
      </c>
      <c r="L107" t="s">
        <v>15</v>
      </c>
      <c r="M107" s="2">
        <v>45708.303414351853</v>
      </c>
      <c r="N107" s="3">
        <v>45708.303414351853</v>
      </c>
      <c r="O107" t="str">
        <f t="shared" si="11"/>
        <v>Feb</v>
      </c>
      <c r="P107" t="str">
        <f t="shared" si="12"/>
        <v>Thu</v>
      </c>
      <c r="Q107" t="str">
        <f t="shared" si="13"/>
        <v>Weekday</v>
      </c>
      <c r="R107">
        <f t="shared" si="14"/>
        <v>7</v>
      </c>
      <c r="S107" t="s">
        <v>527</v>
      </c>
    </row>
    <row r="108" spans="1:19" x14ac:dyDescent="0.25">
      <c r="A108">
        <v>3742</v>
      </c>
      <c r="B108" t="s">
        <v>45</v>
      </c>
      <c r="C108" t="s">
        <v>30</v>
      </c>
      <c r="D108" t="s">
        <v>10</v>
      </c>
      <c r="E108">
        <v>2</v>
      </c>
      <c r="F108" s="4">
        <v>10.81</v>
      </c>
      <c r="G108" s="4" t="str">
        <f t="shared" si="9"/>
        <v>Mid-Range</v>
      </c>
      <c r="H108" s="4">
        <f t="shared" si="15"/>
        <v>6.4859999999999998</v>
      </c>
      <c r="I108">
        <f t="shared" si="10"/>
        <v>21.62</v>
      </c>
      <c r="J108" s="4">
        <f t="shared" si="16"/>
        <v>15.134</v>
      </c>
      <c r="K108" s="8">
        <f t="shared" si="17"/>
        <v>0.7</v>
      </c>
      <c r="L108" t="s">
        <v>11</v>
      </c>
      <c r="M108" s="2">
        <v>45708.389085648145</v>
      </c>
      <c r="N108" s="3">
        <v>45708.389085648145</v>
      </c>
      <c r="O108" t="str">
        <f t="shared" si="11"/>
        <v>Feb</v>
      </c>
      <c r="P108" t="str">
        <f t="shared" si="12"/>
        <v>Thu</v>
      </c>
      <c r="Q108" t="str">
        <f t="shared" si="13"/>
        <v>Weekday</v>
      </c>
      <c r="R108">
        <f t="shared" si="14"/>
        <v>9</v>
      </c>
      <c r="S108" t="s">
        <v>527</v>
      </c>
    </row>
    <row r="109" spans="1:19" x14ac:dyDescent="0.25">
      <c r="A109">
        <v>6823</v>
      </c>
      <c r="B109" t="s">
        <v>134</v>
      </c>
      <c r="C109" t="s">
        <v>28</v>
      </c>
      <c r="D109" t="s">
        <v>14</v>
      </c>
      <c r="E109">
        <v>4</v>
      </c>
      <c r="F109" s="4">
        <v>10.8</v>
      </c>
      <c r="G109" s="4" t="str">
        <f t="shared" si="9"/>
        <v>Mid-Range</v>
      </c>
      <c r="H109" s="4">
        <f t="shared" si="15"/>
        <v>6.48</v>
      </c>
      <c r="I109">
        <f t="shared" si="10"/>
        <v>43.2</v>
      </c>
      <c r="J109" s="4">
        <f t="shared" si="16"/>
        <v>36.72</v>
      </c>
      <c r="K109" s="8">
        <f t="shared" si="17"/>
        <v>0.84999999999999987</v>
      </c>
      <c r="L109" t="s">
        <v>17</v>
      </c>
      <c r="M109" s="2">
        <v>45708.76059027778</v>
      </c>
      <c r="N109" s="3">
        <v>45708.76059027778</v>
      </c>
      <c r="O109" t="str">
        <f t="shared" si="11"/>
        <v>Feb</v>
      </c>
      <c r="P109" t="str">
        <f t="shared" si="12"/>
        <v>Thu</v>
      </c>
      <c r="Q109" t="str">
        <f t="shared" si="13"/>
        <v>Weekday</v>
      </c>
      <c r="R109">
        <f t="shared" si="14"/>
        <v>18</v>
      </c>
      <c r="S109" t="s">
        <v>529</v>
      </c>
    </row>
    <row r="110" spans="1:19" x14ac:dyDescent="0.25">
      <c r="A110">
        <v>6490</v>
      </c>
      <c r="B110" t="s">
        <v>331</v>
      </c>
      <c r="C110" t="s">
        <v>37</v>
      </c>
      <c r="D110" t="s">
        <v>10</v>
      </c>
      <c r="E110">
        <v>5</v>
      </c>
      <c r="F110" s="4">
        <v>4.09</v>
      </c>
      <c r="G110" s="4" t="str">
        <f t="shared" si="9"/>
        <v>Budget</v>
      </c>
      <c r="H110" s="4">
        <f t="shared" si="15"/>
        <v>2.4539999999999997</v>
      </c>
      <c r="I110">
        <f t="shared" si="10"/>
        <v>20.45</v>
      </c>
      <c r="J110" s="4">
        <f t="shared" si="16"/>
        <v>17.995999999999999</v>
      </c>
      <c r="K110" s="8">
        <f t="shared" si="17"/>
        <v>0.88</v>
      </c>
      <c r="L110" t="s">
        <v>19</v>
      </c>
      <c r="M110" s="2">
        <v>45709.124490740738</v>
      </c>
      <c r="N110" s="3">
        <v>45709.124490740738</v>
      </c>
      <c r="O110" t="str">
        <f t="shared" si="11"/>
        <v>Feb</v>
      </c>
      <c r="P110" t="str">
        <f t="shared" si="12"/>
        <v>Fri</v>
      </c>
      <c r="Q110" t="str">
        <f t="shared" si="13"/>
        <v>Weekend</v>
      </c>
      <c r="R110">
        <f t="shared" si="14"/>
        <v>2</v>
      </c>
      <c r="S110" t="s">
        <v>527</v>
      </c>
    </row>
    <row r="111" spans="1:19" x14ac:dyDescent="0.25">
      <c r="A111">
        <v>9586</v>
      </c>
      <c r="B111" t="s">
        <v>310</v>
      </c>
      <c r="C111" t="s">
        <v>37</v>
      </c>
      <c r="D111" t="s">
        <v>10</v>
      </c>
      <c r="E111">
        <v>4</v>
      </c>
      <c r="F111" s="4">
        <v>22.44</v>
      </c>
      <c r="G111" s="4" t="str">
        <f t="shared" si="9"/>
        <v>Premium</v>
      </c>
      <c r="H111" s="4">
        <f t="shared" si="15"/>
        <v>13.464</v>
      </c>
      <c r="I111">
        <f t="shared" si="10"/>
        <v>89.76</v>
      </c>
      <c r="J111" s="4">
        <f t="shared" si="16"/>
        <v>76.296000000000006</v>
      </c>
      <c r="K111" s="8">
        <f t="shared" si="17"/>
        <v>0.85</v>
      </c>
      <c r="L111" t="s">
        <v>19</v>
      </c>
      <c r="M111" s="2">
        <v>45709.413437499999</v>
      </c>
      <c r="N111" s="3">
        <v>45709.413437499999</v>
      </c>
      <c r="O111" t="str">
        <f t="shared" si="11"/>
        <v>Feb</v>
      </c>
      <c r="P111" t="str">
        <f t="shared" si="12"/>
        <v>Fri</v>
      </c>
      <c r="Q111" t="str">
        <f t="shared" si="13"/>
        <v>Weekend</v>
      </c>
      <c r="R111">
        <f t="shared" si="14"/>
        <v>9</v>
      </c>
      <c r="S111" t="s">
        <v>527</v>
      </c>
    </row>
    <row r="112" spans="1:19" x14ac:dyDescent="0.25">
      <c r="A112">
        <v>1909</v>
      </c>
      <c r="B112" t="s">
        <v>278</v>
      </c>
      <c r="C112" t="s">
        <v>21</v>
      </c>
      <c r="D112" t="s">
        <v>22</v>
      </c>
      <c r="E112">
        <v>4</v>
      </c>
      <c r="F112" s="4">
        <v>16.89</v>
      </c>
      <c r="G112" s="4" t="str">
        <f t="shared" si="9"/>
        <v>Mid-Range</v>
      </c>
      <c r="H112" s="4">
        <f t="shared" si="15"/>
        <v>10.134</v>
      </c>
      <c r="I112">
        <f t="shared" si="10"/>
        <v>67.56</v>
      </c>
      <c r="J112" s="4">
        <f t="shared" si="16"/>
        <v>57.426000000000002</v>
      </c>
      <c r="K112" s="8">
        <f t="shared" si="17"/>
        <v>0.85</v>
      </c>
      <c r="L112" t="s">
        <v>17</v>
      </c>
      <c r="M112" s="2">
        <v>45709.964363425926</v>
      </c>
      <c r="N112" s="3">
        <v>45709.964363425926</v>
      </c>
      <c r="O112" t="str">
        <f t="shared" si="11"/>
        <v>Feb</v>
      </c>
      <c r="P112" t="str">
        <f t="shared" si="12"/>
        <v>Fri</v>
      </c>
      <c r="Q112" t="str">
        <f t="shared" si="13"/>
        <v>Weekend</v>
      </c>
      <c r="R112">
        <f t="shared" si="14"/>
        <v>23</v>
      </c>
      <c r="S112" t="s">
        <v>529</v>
      </c>
    </row>
    <row r="113" spans="1:19" x14ac:dyDescent="0.25">
      <c r="A113">
        <v>9936</v>
      </c>
      <c r="B113" t="s">
        <v>501</v>
      </c>
      <c r="C113" t="s">
        <v>40</v>
      </c>
      <c r="D113" t="s">
        <v>22</v>
      </c>
      <c r="E113">
        <v>2</v>
      </c>
      <c r="F113" s="4">
        <v>15.76</v>
      </c>
      <c r="G113" s="4" t="str">
        <f t="shared" si="9"/>
        <v>Mid-Range</v>
      </c>
      <c r="H113" s="4">
        <f t="shared" si="15"/>
        <v>9.4559999999999995</v>
      </c>
      <c r="I113">
        <f t="shared" si="10"/>
        <v>31.52</v>
      </c>
      <c r="J113" s="4">
        <f t="shared" si="16"/>
        <v>22.064</v>
      </c>
      <c r="K113" s="8">
        <f t="shared" si="17"/>
        <v>0.70000000000000007</v>
      </c>
      <c r="L113" t="s">
        <v>17</v>
      </c>
      <c r="M113" s="2">
        <v>45712.055289351854</v>
      </c>
      <c r="N113" s="3">
        <v>45712.055289351854</v>
      </c>
      <c r="O113" t="str">
        <f t="shared" si="11"/>
        <v>Feb</v>
      </c>
      <c r="P113" t="str">
        <f t="shared" si="12"/>
        <v>Mon</v>
      </c>
      <c r="Q113" t="str">
        <f t="shared" si="13"/>
        <v>Weekday</v>
      </c>
      <c r="R113">
        <f t="shared" si="14"/>
        <v>1</v>
      </c>
      <c r="S113" t="s">
        <v>527</v>
      </c>
    </row>
    <row r="114" spans="1:19" x14ac:dyDescent="0.25">
      <c r="A114">
        <v>6498</v>
      </c>
      <c r="B114" t="s">
        <v>102</v>
      </c>
      <c r="C114" t="s">
        <v>21</v>
      </c>
      <c r="D114" t="s">
        <v>22</v>
      </c>
      <c r="E114">
        <v>2</v>
      </c>
      <c r="F114" s="4">
        <v>9.8699999999999992</v>
      </c>
      <c r="G114" s="4" t="str">
        <f t="shared" si="9"/>
        <v>Budget</v>
      </c>
      <c r="H114" s="4">
        <f t="shared" si="15"/>
        <v>5.9219999999999997</v>
      </c>
      <c r="I114">
        <f t="shared" si="10"/>
        <v>19.739999999999998</v>
      </c>
      <c r="J114" s="4">
        <f t="shared" si="16"/>
        <v>13.817999999999998</v>
      </c>
      <c r="K114" s="8">
        <f t="shared" si="17"/>
        <v>0.7</v>
      </c>
      <c r="L114" t="s">
        <v>11</v>
      </c>
      <c r="M114" s="2">
        <v>45713.487430555557</v>
      </c>
      <c r="N114" s="3">
        <v>45713.487430555557</v>
      </c>
      <c r="O114" t="str">
        <f t="shared" si="11"/>
        <v>Feb</v>
      </c>
      <c r="P114" t="str">
        <f t="shared" si="12"/>
        <v>Tue</v>
      </c>
      <c r="Q114" t="str">
        <f t="shared" si="13"/>
        <v>Weekday</v>
      </c>
      <c r="R114">
        <f t="shared" si="14"/>
        <v>11</v>
      </c>
      <c r="S114" t="s">
        <v>527</v>
      </c>
    </row>
    <row r="115" spans="1:19" x14ac:dyDescent="0.25">
      <c r="A115">
        <v>4472</v>
      </c>
      <c r="B115" t="s">
        <v>182</v>
      </c>
      <c r="C115" t="s">
        <v>13</v>
      </c>
      <c r="D115" t="s">
        <v>14</v>
      </c>
      <c r="E115">
        <v>1</v>
      </c>
      <c r="F115" s="4">
        <v>24.96</v>
      </c>
      <c r="G115" s="4" t="str">
        <f t="shared" si="9"/>
        <v>Premium</v>
      </c>
      <c r="H115" s="4">
        <f t="shared" si="15"/>
        <v>14.975999999999999</v>
      </c>
      <c r="I115">
        <f t="shared" si="10"/>
        <v>24.96</v>
      </c>
      <c r="J115" s="4">
        <f t="shared" si="16"/>
        <v>9.9840000000000018</v>
      </c>
      <c r="K115" s="8">
        <f t="shared" si="17"/>
        <v>0.40000000000000008</v>
      </c>
      <c r="L115" t="s">
        <v>11</v>
      </c>
      <c r="M115" s="2">
        <v>45713.652789351851</v>
      </c>
      <c r="N115" s="3">
        <v>45713.652789351851</v>
      </c>
      <c r="O115" t="str">
        <f t="shared" si="11"/>
        <v>Feb</v>
      </c>
      <c r="P115" t="str">
        <f t="shared" si="12"/>
        <v>Tue</v>
      </c>
      <c r="Q115" t="str">
        <f t="shared" si="13"/>
        <v>Weekday</v>
      </c>
      <c r="R115">
        <f t="shared" si="14"/>
        <v>15</v>
      </c>
      <c r="S115" t="s">
        <v>528</v>
      </c>
    </row>
    <row r="116" spans="1:19" x14ac:dyDescent="0.25">
      <c r="A116">
        <v>5547</v>
      </c>
      <c r="B116" t="s">
        <v>292</v>
      </c>
      <c r="C116" t="s">
        <v>40</v>
      </c>
      <c r="D116" t="s">
        <v>22</v>
      </c>
      <c r="E116">
        <v>1</v>
      </c>
      <c r="F116" s="4">
        <v>20.57</v>
      </c>
      <c r="G116" s="4" t="str">
        <f t="shared" si="9"/>
        <v>Premium</v>
      </c>
      <c r="H116" s="4">
        <f t="shared" si="15"/>
        <v>12.342000000000001</v>
      </c>
      <c r="I116">
        <f t="shared" si="10"/>
        <v>20.57</v>
      </c>
      <c r="J116" s="4">
        <f t="shared" si="16"/>
        <v>8.2279999999999998</v>
      </c>
      <c r="K116" s="8">
        <f t="shared" si="17"/>
        <v>0.39999999999999997</v>
      </c>
      <c r="L116" t="s">
        <v>15</v>
      </c>
      <c r="M116" s="2">
        <v>45714.794016203705</v>
      </c>
      <c r="N116" s="3">
        <v>45714.794016203705</v>
      </c>
      <c r="O116" t="str">
        <f t="shared" si="11"/>
        <v>Feb</v>
      </c>
      <c r="P116" t="str">
        <f t="shared" si="12"/>
        <v>Wed</v>
      </c>
      <c r="Q116" t="str">
        <f t="shared" si="13"/>
        <v>Weekday</v>
      </c>
      <c r="R116">
        <f t="shared" si="14"/>
        <v>19</v>
      </c>
      <c r="S116" t="s">
        <v>529</v>
      </c>
    </row>
    <row r="117" spans="1:19" x14ac:dyDescent="0.25">
      <c r="A117">
        <v>4144</v>
      </c>
      <c r="B117" t="s">
        <v>108</v>
      </c>
      <c r="C117" t="s">
        <v>35</v>
      </c>
      <c r="D117" t="s">
        <v>22</v>
      </c>
      <c r="E117">
        <v>2</v>
      </c>
      <c r="F117" s="4">
        <v>3.8</v>
      </c>
      <c r="G117" s="4" t="str">
        <f t="shared" si="9"/>
        <v>Budget</v>
      </c>
      <c r="H117" s="4">
        <f t="shared" si="15"/>
        <v>2.2799999999999998</v>
      </c>
      <c r="I117">
        <f t="shared" si="10"/>
        <v>7.6</v>
      </c>
      <c r="J117" s="4">
        <f t="shared" si="16"/>
        <v>5.32</v>
      </c>
      <c r="K117" s="8">
        <f t="shared" si="17"/>
        <v>0.70000000000000007</v>
      </c>
      <c r="L117" t="s">
        <v>11</v>
      </c>
      <c r="M117" s="2">
        <v>45714.854247685187</v>
      </c>
      <c r="N117" s="3">
        <v>45714.854247685187</v>
      </c>
      <c r="O117" t="str">
        <f t="shared" si="11"/>
        <v>Feb</v>
      </c>
      <c r="P117" t="str">
        <f t="shared" si="12"/>
        <v>Wed</v>
      </c>
      <c r="Q117" t="str">
        <f t="shared" si="13"/>
        <v>Weekday</v>
      </c>
      <c r="R117">
        <f t="shared" si="14"/>
        <v>20</v>
      </c>
      <c r="S117" t="s">
        <v>529</v>
      </c>
    </row>
    <row r="118" spans="1:19" x14ac:dyDescent="0.25">
      <c r="A118">
        <v>7194</v>
      </c>
      <c r="B118" t="s">
        <v>409</v>
      </c>
      <c r="C118" t="s">
        <v>9</v>
      </c>
      <c r="D118" t="s">
        <v>10</v>
      </c>
      <c r="E118">
        <v>5</v>
      </c>
      <c r="F118" s="4">
        <v>18.18</v>
      </c>
      <c r="G118" s="4" t="str">
        <f t="shared" si="9"/>
        <v>Mid-Range</v>
      </c>
      <c r="H118" s="4">
        <f t="shared" si="15"/>
        <v>10.907999999999999</v>
      </c>
      <c r="I118">
        <f t="shared" si="10"/>
        <v>90.9</v>
      </c>
      <c r="J118" s="4">
        <f t="shared" si="16"/>
        <v>79.992000000000004</v>
      </c>
      <c r="K118" s="8">
        <f t="shared" si="17"/>
        <v>0.88</v>
      </c>
      <c r="L118" t="s">
        <v>11</v>
      </c>
      <c r="M118" s="2">
        <v>45715.577256944445</v>
      </c>
      <c r="N118" s="3">
        <v>45715.577256944445</v>
      </c>
      <c r="O118" t="str">
        <f t="shared" si="11"/>
        <v>Feb</v>
      </c>
      <c r="P118" t="str">
        <f t="shared" si="12"/>
        <v>Thu</v>
      </c>
      <c r="Q118" t="str">
        <f t="shared" si="13"/>
        <v>Weekday</v>
      </c>
      <c r="R118">
        <f t="shared" si="14"/>
        <v>13</v>
      </c>
      <c r="S118" t="s">
        <v>528</v>
      </c>
    </row>
    <row r="119" spans="1:19" x14ac:dyDescent="0.25">
      <c r="A119">
        <v>2279</v>
      </c>
      <c r="B119" t="s">
        <v>398</v>
      </c>
      <c r="C119" t="s">
        <v>37</v>
      </c>
      <c r="D119" t="s">
        <v>10</v>
      </c>
      <c r="E119">
        <v>3</v>
      </c>
      <c r="F119" s="4">
        <v>14.58</v>
      </c>
      <c r="G119" s="4" t="str">
        <f t="shared" si="9"/>
        <v>Mid-Range</v>
      </c>
      <c r="H119" s="4">
        <f t="shared" si="15"/>
        <v>8.7479999999999993</v>
      </c>
      <c r="I119">
        <f t="shared" si="10"/>
        <v>43.74</v>
      </c>
      <c r="J119" s="4">
        <f t="shared" si="16"/>
        <v>34.992000000000004</v>
      </c>
      <c r="K119" s="8">
        <f t="shared" si="17"/>
        <v>0.8</v>
      </c>
      <c r="L119" t="s">
        <v>17</v>
      </c>
      <c r="M119" s="2">
        <v>45715.719421296293</v>
      </c>
      <c r="N119" s="3">
        <v>45715.719421296293</v>
      </c>
      <c r="O119" t="str">
        <f t="shared" si="11"/>
        <v>Feb</v>
      </c>
      <c r="P119" t="str">
        <f t="shared" si="12"/>
        <v>Thu</v>
      </c>
      <c r="Q119" t="str">
        <f t="shared" si="13"/>
        <v>Weekday</v>
      </c>
      <c r="R119">
        <f t="shared" si="14"/>
        <v>17</v>
      </c>
      <c r="S119" t="s">
        <v>528</v>
      </c>
    </row>
    <row r="120" spans="1:19" x14ac:dyDescent="0.25">
      <c r="A120">
        <v>3244</v>
      </c>
      <c r="B120" t="s">
        <v>138</v>
      </c>
      <c r="C120" t="s">
        <v>30</v>
      </c>
      <c r="D120" t="s">
        <v>10</v>
      </c>
      <c r="E120">
        <v>5</v>
      </c>
      <c r="F120" s="4">
        <v>2.35</v>
      </c>
      <c r="G120" s="4" t="str">
        <f t="shared" si="9"/>
        <v>Budget</v>
      </c>
      <c r="H120" s="4">
        <f t="shared" si="15"/>
        <v>1.41</v>
      </c>
      <c r="I120">
        <f t="shared" si="10"/>
        <v>11.75</v>
      </c>
      <c r="J120" s="4">
        <f t="shared" si="16"/>
        <v>10.34</v>
      </c>
      <c r="K120" s="8">
        <f t="shared" si="17"/>
        <v>0.88</v>
      </c>
      <c r="L120" t="s">
        <v>17</v>
      </c>
      <c r="M120" s="2">
        <v>45716.609189814815</v>
      </c>
      <c r="N120" s="3">
        <v>45716.609189814815</v>
      </c>
      <c r="O120" t="str">
        <f t="shared" si="11"/>
        <v>Feb</v>
      </c>
      <c r="P120" t="str">
        <f t="shared" si="12"/>
        <v>Fri</v>
      </c>
      <c r="Q120" t="str">
        <f t="shared" si="13"/>
        <v>Weekend</v>
      </c>
      <c r="R120">
        <f t="shared" si="14"/>
        <v>14</v>
      </c>
      <c r="S120" t="s">
        <v>528</v>
      </c>
    </row>
    <row r="121" spans="1:19" x14ac:dyDescent="0.25">
      <c r="A121">
        <v>5707</v>
      </c>
      <c r="B121" t="s">
        <v>265</v>
      </c>
      <c r="C121" t="s">
        <v>13</v>
      </c>
      <c r="D121" t="s">
        <v>14</v>
      </c>
      <c r="E121">
        <v>5</v>
      </c>
      <c r="F121" s="4">
        <v>12.33</v>
      </c>
      <c r="G121" s="4" t="str">
        <f t="shared" si="9"/>
        <v>Mid-Range</v>
      </c>
      <c r="H121" s="4">
        <f t="shared" si="15"/>
        <v>7.3979999999999997</v>
      </c>
      <c r="I121">
        <f t="shared" si="10"/>
        <v>61.65</v>
      </c>
      <c r="J121" s="4">
        <f t="shared" si="16"/>
        <v>54.251999999999995</v>
      </c>
      <c r="K121" s="8">
        <f t="shared" si="17"/>
        <v>0.87999999999999989</v>
      </c>
      <c r="L121" t="s">
        <v>15</v>
      </c>
      <c r="M121" s="2">
        <v>45717.788877314815</v>
      </c>
      <c r="N121" s="3">
        <v>45717.788877314815</v>
      </c>
      <c r="O121" t="str">
        <f t="shared" si="11"/>
        <v>Mar</v>
      </c>
      <c r="P121" t="str">
        <f t="shared" si="12"/>
        <v>Sat</v>
      </c>
      <c r="Q121" t="str">
        <f t="shared" si="13"/>
        <v>Weekend</v>
      </c>
      <c r="R121">
        <f t="shared" si="14"/>
        <v>18</v>
      </c>
      <c r="S121" t="s">
        <v>529</v>
      </c>
    </row>
    <row r="122" spans="1:19" x14ac:dyDescent="0.25">
      <c r="A122">
        <v>2227</v>
      </c>
      <c r="B122" t="s">
        <v>332</v>
      </c>
      <c r="C122" t="s">
        <v>13</v>
      </c>
      <c r="D122" t="s">
        <v>14</v>
      </c>
      <c r="E122">
        <v>1</v>
      </c>
      <c r="F122" s="4">
        <v>11.66</v>
      </c>
      <c r="G122" s="4" t="str">
        <f t="shared" si="9"/>
        <v>Mid-Range</v>
      </c>
      <c r="H122" s="4">
        <f t="shared" si="15"/>
        <v>6.9959999999999996</v>
      </c>
      <c r="I122">
        <f t="shared" si="10"/>
        <v>11.66</v>
      </c>
      <c r="J122" s="4">
        <f t="shared" si="16"/>
        <v>4.6640000000000006</v>
      </c>
      <c r="K122" s="8">
        <f t="shared" si="17"/>
        <v>0.4</v>
      </c>
      <c r="L122" t="s">
        <v>19</v>
      </c>
      <c r="M122" s="2">
        <v>45717.937881944446</v>
      </c>
      <c r="N122" s="3">
        <v>45717.937881944446</v>
      </c>
      <c r="O122" t="str">
        <f t="shared" si="11"/>
        <v>Mar</v>
      </c>
      <c r="P122" t="str">
        <f t="shared" si="12"/>
        <v>Sat</v>
      </c>
      <c r="Q122" t="str">
        <f t="shared" si="13"/>
        <v>Weekend</v>
      </c>
      <c r="R122">
        <f t="shared" si="14"/>
        <v>22</v>
      </c>
      <c r="S122" t="s">
        <v>529</v>
      </c>
    </row>
    <row r="123" spans="1:19" x14ac:dyDescent="0.25">
      <c r="A123">
        <v>1312</v>
      </c>
      <c r="B123" t="s">
        <v>242</v>
      </c>
      <c r="C123" t="s">
        <v>30</v>
      </c>
      <c r="D123" t="s">
        <v>10</v>
      </c>
      <c r="E123">
        <v>3</v>
      </c>
      <c r="F123" s="4">
        <v>16.3</v>
      </c>
      <c r="G123" s="4" t="str">
        <f t="shared" si="9"/>
        <v>Mid-Range</v>
      </c>
      <c r="H123" s="4">
        <f t="shared" si="15"/>
        <v>9.7799999999999994</v>
      </c>
      <c r="I123">
        <f t="shared" si="10"/>
        <v>48.900000000000006</v>
      </c>
      <c r="J123" s="4">
        <f t="shared" si="16"/>
        <v>39.120000000000005</v>
      </c>
      <c r="K123" s="8">
        <f t="shared" si="17"/>
        <v>0.8</v>
      </c>
      <c r="L123" t="s">
        <v>19</v>
      </c>
      <c r="M123" s="2">
        <v>45717.996446759258</v>
      </c>
      <c r="N123" s="3">
        <v>45717.996446759258</v>
      </c>
      <c r="O123" t="str">
        <f t="shared" si="11"/>
        <v>Mar</v>
      </c>
      <c r="P123" t="str">
        <f t="shared" si="12"/>
        <v>Sat</v>
      </c>
      <c r="Q123" t="str">
        <f t="shared" si="13"/>
        <v>Weekend</v>
      </c>
      <c r="R123">
        <f t="shared" si="14"/>
        <v>23</v>
      </c>
      <c r="S123" t="s">
        <v>529</v>
      </c>
    </row>
    <row r="124" spans="1:19" x14ac:dyDescent="0.25">
      <c r="A124">
        <v>2365</v>
      </c>
      <c r="B124" t="s">
        <v>286</v>
      </c>
      <c r="C124" t="s">
        <v>28</v>
      </c>
      <c r="D124" t="s">
        <v>14</v>
      </c>
      <c r="E124">
        <v>4</v>
      </c>
      <c r="F124" s="4">
        <v>16.170000000000002</v>
      </c>
      <c r="G124" s="4" t="str">
        <f t="shared" si="9"/>
        <v>Mid-Range</v>
      </c>
      <c r="H124" s="4">
        <f t="shared" si="15"/>
        <v>9.702</v>
      </c>
      <c r="I124">
        <f t="shared" si="10"/>
        <v>64.680000000000007</v>
      </c>
      <c r="J124" s="4">
        <f t="shared" si="16"/>
        <v>54.978000000000009</v>
      </c>
      <c r="K124" s="8">
        <f t="shared" si="17"/>
        <v>0.85000000000000009</v>
      </c>
      <c r="L124" t="s">
        <v>17</v>
      </c>
      <c r="M124" s="2">
        <v>45718.25953703704</v>
      </c>
      <c r="N124" s="3">
        <v>45718.25953703704</v>
      </c>
      <c r="O124" t="str">
        <f t="shared" si="11"/>
        <v>Mar</v>
      </c>
      <c r="P124" t="str">
        <f t="shared" si="12"/>
        <v>Sun</v>
      </c>
      <c r="Q124" t="str">
        <f t="shared" si="13"/>
        <v>Weekday</v>
      </c>
      <c r="R124">
        <f t="shared" si="14"/>
        <v>6</v>
      </c>
      <c r="S124" t="s">
        <v>527</v>
      </c>
    </row>
    <row r="125" spans="1:19" x14ac:dyDescent="0.25">
      <c r="A125">
        <v>6828</v>
      </c>
      <c r="B125" t="s">
        <v>52</v>
      </c>
      <c r="C125" t="s">
        <v>40</v>
      </c>
      <c r="D125" t="s">
        <v>22</v>
      </c>
      <c r="E125">
        <v>4</v>
      </c>
      <c r="F125" s="4">
        <v>7.64</v>
      </c>
      <c r="G125" s="4" t="str">
        <f t="shared" si="9"/>
        <v>Budget</v>
      </c>
      <c r="H125" s="4">
        <f t="shared" si="15"/>
        <v>4.5839999999999996</v>
      </c>
      <c r="I125">
        <f t="shared" si="10"/>
        <v>30.56</v>
      </c>
      <c r="J125" s="4">
        <f t="shared" si="16"/>
        <v>25.975999999999999</v>
      </c>
      <c r="K125" s="8">
        <f t="shared" si="17"/>
        <v>0.85</v>
      </c>
      <c r="L125" t="s">
        <v>11</v>
      </c>
      <c r="M125" s="2">
        <v>45718.427789351852</v>
      </c>
      <c r="N125" s="3">
        <v>45718.427789351852</v>
      </c>
      <c r="O125" t="str">
        <f t="shared" si="11"/>
        <v>Mar</v>
      </c>
      <c r="P125" t="str">
        <f t="shared" si="12"/>
        <v>Sun</v>
      </c>
      <c r="Q125" t="str">
        <f t="shared" si="13"/>
        <v>Weekday</v>
      </c>
      <c r="R125">
        <f t="shared" si="14"/>
        <v>10</v>
      </c>
      <c r="S125" t="s">
        <v>527</v>
      </c>
    </row>
    <row r="126" spans="1:19" x14ac:dyDescent="0.25">
      <c r="A126">
        <v>6807</v>
      </c>
      <c r="B126" t="s">
        <v>302</v>
      </c>
      <c r="C126" t="s">
        <v>35</v>
      </c>
      <c r="D126" t="s">
        <v>22</v>
      </c>
      <c r="E126">
        <v>4</v>
      </c>
      <c r="F126" s="4">
        <v>3.6</v>
      </c>
      <c r="G126" s="4" t="str">
        <f t="shared" si="9"/>
        <v>Budget</v>
      </c>
      <c r="H126" s="4">
        <f t="shared" si="15"/>
        <v>2.16</v>
      </c>
      <c r="I126">
        <f t="shared" si="10"/>
        <v>14.4</v>
      </c>
      <c r="J126" s="4">
        <f t="shared" si="16"/>
        <v>12.24</v>
      </c>
      <c r="K126" s="8">
        <f t="shared" si="17"/>
        <v>0.85</v>
      </c>
      <c r="L126" t="s">
        <v>17</v>
      </c>
      <c r="M126" s="2">
        <v>45718.673171296294</v>
      </c>
      <c r="N126" s="3">
        <v>45718.673171296294</v>
      </c>
      <c r="O126" t="str">
        <f t="shared" si="11"/>
        <v>Mar</v>
      </c>
      <c r="P126" t="str">
        <f t="shared" si="12"/>
        <v>Sun</v>
      </c>
      <c r="Q126" t="str">
        <f t="shared" si="13"/>
        <v>Weekday</v>
      </c>
      <c r="R126">
        <f t="shared" si="14"/>
        <v>16</v>
      </c>
      <c r="S126" t="s">
        <v>528</v>
      </c>
    </row>
    <row r="127" spans="1:19" x14ac:dyDescent="0.25">
      <c r="A127">
        <v>3800</v>
      </c>
      <c r="B127" t="s">
        <v>247</v>
      </c>
      <c r="C127" t="s">
        <v>33</v>
      </c>
      <c r="D127" t="s">
        <v>14</v>
      </c>
      <c r="E127">
        <v>1</v>
      </c>
      <c r="F127" s="4">
        <v>13.78</v>
      </c>
      <c r="G127" s="4" t="str">
        <f t="shared" si="9"/>
        <v>Mid-Range</v>
      </c>
      <c r="H127" s="4">
        <f t="shared" si="15"/>
        <v>8.2679999999999989</v>
      </c>
      <c r="I127">
        <f t="shared" si="10"/>
        <v>13.78</v>
      </c>
      <c r="J127" s="4">
        <f t="shared" si="16"/>
        <v>5.5120000000000005</v>
      </c>
      <c r="K127" s="8">
        <f t="shared" si="17"/>
        <v>0.40000000000000008</v>
      </c>
      <c r="L127" t="s">
        <v>15</v>
      </c>
      <c r="M127" s="2">
        <v>45718.762002314812</v>
      </c>
      <c r="N127" s="3">
        <v>45718.762002314812</v>
      </c>
      <c r="O127" t="str">
        <f t="shared" si="11"/>
        <v>Mar</v>
      </c>
      <c r="P127" t="str">
        <f t="shared" si="12"/>
        <v>Sun</v>
      </c>
      <c r="Q127" t="str">
        <f t="shared" si="13"/>
        <v>Weekday</v>
      </c>
      <c r="R127">
        <f t="shared" si="14"/>
        <v>18</v>
      </c>
      <c r="S127" t="s">
        <v>529</v>
      </c>
    </row>
    <row r="128" spans="1:19" x14ac:dyDescent="0.25">
      <c r="A128">
        <v>9839</v>
      </c>
      <c r="B128" t="s">
        <v>192</v>
      </c>
      <c r="C128" t="s">
        <v>40</v>
      </c>
      <c r="D128" t="s">
        <v>22</v>
      </c>
      <c r="E128">
        <v>4</v>
      </c>
      <c r="F128" s="4">
        <v>6.1</v>
      </c>
      <c r="G128" s="4" t="str">
        <f t="shared" si="9"/>
        <v>Budget</v>
      </c>
      <c r="H128" s="4">
        <f t="shared" si="15"/>
        <v>3.6599999999999997</v>
      </c>
      <c r="I128">
        <f t="shared" si="10"/>
        <v>24.4</v>
      </c>
      <c r="J128" s="4">
        <f t="shared" si="16"/>
        <v>20.74</v>
      </c>
      <c r="K128" s="8">
        <f t="shared" si="17"/>
        <v>0.85</v>
      </c>
      <c r="L128" t="s">
        <v>15</v>
      </c>
      <c r="M128" s="2">
        <v>45719.107905092591</v>
      </c>
      <c r="N128" s="3">
        <v>45719.107905092591</v>
      </c>
      <c r="O128" t="str">
        <f t="shared" si="11"/>
        <v>Mar</v>
      </c>
      <c r="P128" t="str">
        <f t="shared" si="12"/>
        <v>Mon</v>
      </c>
      <c r="Q128" t="str">
        <f t="shared" si="13"/>
        <v>Weekday</v>
      </c>
      <c r="R128">
        <f t="shared" si="14"/>
        <v>2</v>
      </c>
      <c r="S128" t="s">
        <v>527</v>
      </c>
    </row>
    <row r="129" spans="1:19" x14ac:dyDescent="0.25">
      <c r="A129">
        <v>8460</v>
      </c>
      <c r="B129" t="s">
        <v>373</v>
      </c>
      <c r="C129" t="s">
        <v>21</v>
      </c>
      <c r="D129" t="s">
        <v>22</v>
      </c>
      <c r="E129">
        <v>5</v>
      </c>
      <c r="F129" s="4">
        <v>24.88</v>
      </c>
      <c r="G129" s="4" t="str">
        <f t="shared" si="9"/>
        <v>Premium</v>
      </c>
      <c r="H129" s="4">
        <f t="shared" si="15"/>
        <v>14.927999999999999</v>
      </c>
      <c r="I129">
        <f t="shared" si="10"/>
        <v>124.39999999999999</v>
      </c>
      <c r="J129" s="4">
        <f t="shared" si="16"/>
        <v>109.47199999999999</v>
      </c>
      <c r="K129" s="8">
        <f t="shared" si="17"/>
        <v>0.88</v>
      </c>
      <c r="L129" t="s">
        <v>19</v>
      </c>
      <c r="M129" s="2">
        <v>45719.358414351853</v>
      </c>
      <c r="N129" s="3">
        <v>45719.358414351853</v>
      </c>
      <c r="O129" t="str">
        <f t="shared" si="11"/>
        <v>Mar</v>
      </c>
      <c r="P129" t="str">
        <f t="shared" si="12"/>
        <v>Mon</v>
      </c>
      <c r="Q129" t="str">
        <f t="shared" si="13"/>
        <v>Weekday</v>
      </c>
      <c r="R129">
        <f t="shared" si="14"/>
        <v>8</v>
      </c>
      <c r="S129" t="s">
        <v>527</v>
      </c>
    </row>
    <row r="130" spans="1:19" x14ac:dyDescent="0.25">
      <c r="A130">
        <v>4195</v>
      </c>
      <c r="B130" t="s">
        <v>410</v>
      </c>
      <c r="C130" t="s">
        <v>13</v>
      </c>
      <c r="D130" t="s">
        <v>14</v>
      </c>
      <c r="E130">
        <v>1</v>
      </c>
      <c r="F130" s="4">
        <v>21.71</v>
      </c>
      <c r="G130" s="4" t="str">
        <f t="shared" ref="G130:G193" si="18">IF(F130&lt;10,"Budget",IF(F130&lt;20,"Mid-Range","Premium"))</f>
        <v>Premium</v>
      </c>
      <c r="H130" s="4">
        <f t="shared" si="15"/>
        <v>13.026</v>
      </c>
      <c r="I130">
        <f t="shared" ref="I130:I193" si="19">E130 * F130</f>
        <v>21.71</v>
      </c>
      <c r="J130" s="4">
        <f t="shared" si="16"/>
        <v>8.6840000000000011</v>
      </c>
      <c r="K130" s="8">
        <f t="shared" si="17"/>
        <v>0.4</v>
      </c>
      <c r="L130" t="s">
        <v>15</v>
      </c>
      <c r="M130" s="2">
        <v>45719.934942129628</v>
      </c>
      <c r="N130" s="3">
        <v>45719.934942129628</v>
      </c>
      <c r="O130" t="str">
        <f t="shared" ref="O130:O193" si="20">TEXT(N130,"MMM")</f>
        <v>Mar</v>
      </c>
      <c r="P130" t="str">
        <f t="shared" ref="P130:P193" si="21">TEXT(M130, "DDD")</f>
        <v>Mon</v>
      </c>
      <c r="Q130" t="str">
        <f t="shared" ref="Q130:Q193" si="22">IF(OR(P130="Fri",P130="Sat"),"Weekend","Weekday")</f>
        <v>Weekday</v>
      </c>
      <c r="R130">
        <f t="shared" ref="R130:R193" si="23">HOUR(N130)</f>
        <v>22</v>
      </c>
      <c r="S130" t="s">
        <v>529</v>
      </c>
    </row>
    <row r="131" spans="1:19" x14ac:dyDescent="0.25">
      <c r="A131">
        <v>3160</v>
      </c>
      <c r="B131" t="s">
        <v>16</v>
      </c>
      <c r="C131" t="s">
        <v>9</v>
      </c>
      <c r="D131" t="s">
        <v>10</v>
      </c>
      <c r="E131">
        <v>1</v>
      </c>
      <c r="F131" s="4">
        <v>3.37</v>
      </c>
      <c r="G131" s="4" t="str">
        <f t="shared" si="18"/>
        <v>Budget</v>
      </c>
      <c r="H131" s="4">
        <f t="shared" ref="H131:H194" si="24">60% * F131</f>
        <v>2.0219999999999998</v>
      </c>
      <c r="I131">
        <f t="shared" si="19"/>
        <v>3.37</v>
      </c>
      <c r="J131" s="4">
        <f t="shared" ref="J131:J194" si="25">I131 - H131</f>
        <v>1.3480000000000003</v>
      </c>
      <c r="K131" s="8">
        <f t="shared" ref="K131:K194" si="26">J131 / I131</f>
        <v>0.40000000000000008</v>
      </c>
      <c r="L131" t="s">
        <v>17</v>
      </c>
      <c r="M131" s="2">
        <v>45720.320613425924</v>
      </c>
      <c r="N131" s="3">
        <v>45720.320613425924</v>
      </c>
      <c r="O131" t="str">
        <f t="shared" si="20"/>
        <v>Mar</v>
      </c>
      <c r="P131" t="str">
        <f t="shared" si="21"/>
        <v>Tue</v>
      </c>
      <c r="Q131" t="str">
        <f t="shared" si="22"/>
        <v>Weekday</v>
      </c>
      <c r="R131">
        <f t="shared" si="23"/>
        <v>7</v>
      </c>
      <c r="S131" t="s">
        <v>527</v>
      </c>
    </row>
    <row r="132" spans="1:19" x14ac:dyDescent="0.25">
      <c r="A132">
        <v>6212</v>
      </c>
      <c r="B132" t="s">
        <v>306</v>
      </c>
      <c r="C132" t="s">
        <v>30</v>
      </c>
      <c r="D132" t="s">
        <v>10</v>
      </c>
      <c r="E132">
        <v>1</v>
      </c>
      <c r="F132" s="4">
        <v>18.239999999999998</v>
      </c>
      <c r="G132" s="4" t="str">
        <f t="shared" si="18"/>
        <v>Mid-Range</v>
      </c>
      <c r="H132" s="4">
        <f t="shared" si="24"/>
        <v>10.943999999999999</v>
      </c>
      <c r="I132">
        <f t="shared" si="19"/>
        <v>18.239999999999998</v>
      </c>
      <c r="J132" s="4">
        <f t="shared" si="25"/>
        <v>7.2959999999999994</v>
      </c>
      <c r="K132" s="8">
        <f t="shared" si="26"/>
        <v>0.4</v>
      </c>
      <c r="L132" t="s">
        <v>11</v>
      </c>
      <c r="M132" s="2">
        <v>45721.006736111114</v>
      </c>
      <c r="N132" s="3">
        <v>45721.006736111114</v>
      </c>
      <c r="O132" t="str">
        <f t="shared" si="20"/>
        <v>Mar</v>
      </c>
      <c r="P132" t="str">
        <f t="shared" si="21"/>
        <v>Wed</v>
      </c>
      <c r="Q132" t="str">
        <f t="shared" si="22"/>
        <v>Weekday</v>
      </c>
      <c r="R132">
        <f t="shared" si="23"/>
        <v>0</v>
      </c>
      <c r="S132" t="s">
        <v>527</v>
      </c>
    </row>
    <row r="133" spans="1:19" x14ac:dyDescent="0.25">
      <c r="A133">
        <v>3639</v>
      </c>
      <c r="B133" t="s">
        <v>367</v>
      </c>
      <c r="C133" t="s">
        <v>33</v>
      </c>
      <c r="D133" t="s">
        <v>14</v>
      </c>
      <c r="E133">
        <v>1</v>
      </c>
      <c r="F133" s="4">
        <v>9.6999999999999993</v>
      </c>
      <c r="G133" s="4" t="str">
        <f t="shared" si="18"/>
        <v>Budget</v>
      </c>
      <c r="H133" s="4">
        <f t="shared" si="24"/>
        <v>5.8199999999999994</v>
      </c>
      <c r="I133">
        <f t="shared" si="19"/>
        <v>9.6999999999999993</v>
      </c>
      <c r="J133" s="4">
        <f t="shared" si="25"/>
        <v>3.88</v>
      </c>
      <c r="K133" s="8">
        <f t="shared" si="26"/>
        <v>0.4</v>
      </c>
      <c r="L133" t="s">
        <v>11</v>
      </c>
      <c r="M133" s="2">
        <v>45721.252881944441</v>
      </c>
      <c r="N133" s="3">
        <v>45721.252881944441</v>
      </c>
      <c r="O133" t="str">
        <f t="shared" si="20"/>
        <v>Mar</v>
      </c>
      <c r="P133" t="str">
        <f t="shared" si="21"/>
        <v>Wed</v>
      </c>
      <c r="Q133" t="str">
        <f t="shared" si="22"/>
        <v>Weekday</v>
      </c>
      <c r="R133">
        <f t="shared" si="23"/>
        <v>6</v>
      </c>
      <c r="S133" t="s">
        <v>527</v>
      </c>
    </row>
    <row r="134" spans="1:19" x14ac:dyDescent="0.25">
      <c r="A134">
        <v>4250</v>
      </c>
      <c r="B134" t="s">
        <v>378</v>
      </c>
      <c r="C134" t="s">
        <v>13</v>
      </c>
      <c r="D134" t="s">
        <v>14</v>
      </c>
      <c r="E134">
        <v>2</v>
      </c>
      <c r="F134" s="4">
        <v>2.62</v>
      </c>
      <c r="G134" s="4" t="str">
        <f t="shared" si="18"/>
        <v>Budget</v>
      </c>
      <c r="H134" s="4">
        <f t="shared" si="24"/>
        <v>1.5720000000000001</v>
      </c>
      <c r="I134">
        <f t="shared" si="19"/>
        <v>5.24</v>
      </c>
      <c r="J134" s="4">
        <f t="shared" si="25"/>
        <v>3.6680000000000001</v>
      </c>
      <c r="K134" s="8">
        <f t="shared" si="26"/>
        <v>0.7</v>
      </c>
      <c r="L134" t="s">
        <v>17</v>
      </c>
      <c r="M134" s="2">
        <v>45721.43822916667</v>
      </c>
      <c r="N134" s="3">
        <v>45721.43822916667</v>
      </c>
      <c r="O134" t="str">
        <f t="shared" si="20"/>
        <v>Mar</v>
      </c>
      <c r="P134" t="str">
        <f t="shared" si="21"/>
        <v>Wed</v>
      </c>
      <c r="Q134" t="str">
        <f t="shared" si="22"/>
        <v>Weekday</v>
      </c>
      <c r="R134">
        <f t="shared" si="23"/>
        <v>10</v>
      </c>
      <c r="S134" t="s">
        <v>527</v>
      </c>
    </row>
    <row r="135" spans="1:19" x14ac:dyDescent="0.25">
      <c r="A135">
        <v>3912</v>
      </c>
      <c r="B135" t="s">
        <v>347</v>
      </c>
      <c r="C135" t="s">
        <v>9</v>
      </c>
      <c r="D135" t="s">
        <v>10</v>
      </c>
      <c r="E135">
        <v>3</v>
      </c>
      <c r="F135" s="4">
        <v>4.5</v>
      </c>
      <c r="G135" s="4" t="str">
        <f t="shared" si="18"/>
        <v>Budget</v>
      </c>
      <c r="H135" s="4">
        <f t="shared" si="24"/>
        <v>2.6999999999999997</v>
      </c>
      <c r="I135">
        <f t="shared" si="19"/>
        <v>13.5</v>
      </c>
      <c r="J135" s="4">
        <f t="shared" si="25"/>
        <v>10.8</v>
      </c>
      <c r="K135" s="8">
        <f t="shared" si="26"/>
        <v>0.8</v>
      </c>
      <c r="L135" t="s">
        <v>15</v>
      </c>
      <c r="M135" s="2">
        <v>45721.453599537039</v>
      </c>
      <c r="N135" s="3">
        <v>45721.453599537039</v>
      </c>
      <c r="O135" t="str">
        <f t="shared" si="20"/>
        <v>Mar</v>
      </c>
      <c r="P135" t="str">
        <f t="shared" si="21"/>
        <v>Wed</v>
      </c>
      <c r="Q135" t="str">
        <f t="shared" si="22"/>
        <v>Weekday</v>
      </c>
      <c r="R135">
        <f t="shared" si="23"/>
        <v>10</v>
      </c>
      <c r="S135" t="s">
        <v>527</v>
      </c>
    </row>
    <row r="136" spans="1:19" x14ac:dyDescent="0.25">
      <c r="A136">
        <v>8483</v>
      </c>
      <c r="B136" t="s">
        <v>481</v>
      </c>
      <c r="C136" t="s">
        <v>33</v>
      </c>
      <c r="D136" t="s">
        <v>14</v>
      </c>
      <c r="E136">
        <v>4</v>
      </c>
      <c r="F136" s="4">
        <v>16.21</v>
      </c>
      <c r="G136" s="4" t="str">
        <f t="shared" si="18"/>
        <v>Mid-Range</v>
      </c>
      <c r="H136" s="4">
        <f t="shared" si="24"/>
        <v>9.7260000000000009</v>
      </c>
      <c r="I136">
        <f t="shared" si="19"/>
        <v>64.84</v>
      </c>
      <c r="J136" s="4">
        <f t="shared" si="25"/>
        <v>55.114000000000004</v>
      </c>
      <c r="K136" s="8">
        <f t="shared" si="26"/>
        <v>0.85</v>
      </c>
      <c r="L136" t="s">
        <v>19</v>
      </c>
      <c r="M136" s="2">
        <v>45721.852731481478</v>
      </c>
      <c r="N136" s="3">
        <v>45721.852731481478</v>
      </c>
      <c r="O136" t="str">
        <f t="shared" si="20"/>
        <v>Mar</v>
      </c>
      <c r="P136" t="str">
        <f t="shared" si="21"/>
        <v>Wed</v>
      </c>
      <c r="Q136" t="str">
        <f t="shared" si="22"/>
        <v>Weekday</v>
      </c>
      <c r="R136">
        <f t="shared" si="23"/>
        <v>20</v>
      </c>
      <c r="S136" t="s">
        <v>529</v>
      </c>
    </row>
    <row r="137" spans="1:19" x14ac:dyDescent="0.25">
      <c r="A137">
        <v>2035</v>
      </c>
      <c r="B137" t="s">
        <v>506</v>
      </c>
      <c r="C137" t="s">
        <v>9</v>
      </c>
      <c r="D137" t="s">
        <v>10</v>
      </c>
      <c r="E137">
        <v>5</v>
      </c>
      <c r="F137" s="4">
        <v>12.83</v>
      </c>
      <c r="G137" s="4" t="str">
        <f t="shared" si="18"/>
        <v>Mid-Range</v>
      </c>
      <c r="H137" s="4">
        <f t="shared" si="24"/>
        <v>7.6979999999999995</v>
      </c>
      <c r="I137">
        <f t="shared" si="19"/>
        <v>64.150000000000006</v>
      </c>
      <c r="J137" s="4">
        <f t="shared" si="25"/>
        <v>56.452000000000005</v>
      </c>
      <c r="K137" s="8">
        <f t="shared" si="26"/>
        <v>0.88</v>
      </c>
      <c r="L137" t="s">
        <v>17</v>
      </c>
      <c r="M137" s="2">
        <v>45722.148796296293</v>
      </c>
      <c r="N137" s="3">
        <v>45722.148796296293</v>
      </c>
      <c r="O137" t="str">
        <f t="shared" si="20"/>
        <v>Mar</v>
      </c>
      <c r="P137" t="str">
        <f t="shared" si="21"/>
        <v>Thu</v>
      </c>
      <c r="Q137" t="str">
        <f t="shared" si="22"/>
        <v>Weekday</v>
      </c>
      <c r="R137">
        <f t="shared" si="23"/>
        <v>3</v>
      </c>
      <c r="S137" t="s">
        <v>527</v>
      </c>
    </row>
    <row r="138" spans="1:19" x14ac:dyDescent="0.25">
      <c r="A138">
        <v>6759</v>
      </c>
      <c r="B138" t="s">
        <v>245</v>
      </c>
      <c r="C138" t="s">
        <v>37</v>
      </c>
      <c r="D138" t="s">
        <v>10</v>
      </c>
      <c r="E138">
        <v>3</v>
      </c>
      <c r="F138" s="4">
        <v>20.29</v>
      </c>
      <c r="G138" s="4" t="str">
        <f t="shared" si="18"/>
        <v>Premium</v>
      </c>
      <c r="H138" s="4">
        <f t="shared" si="24"/>
        <v>12.173999999999999</v>
      </c>
      <c r="I138">
        <f t="shared" si="19"/>
        <v>60.87</v>
      </c>
      <c r="J138" s="4">
        <f t="shared" si="25"/>
        <v>48.695999999999998</v>
      </c>
      <c r="K138" s="8">
        <f t="shared" si="26"/>
        <v>0.8</v>
      </c>
      <c r="L138" t="s">
        <v>11</v>
      </c>
      <c r="M138" s="2">
        <v>45722.729756944442</v>
      </c>
      <c r="N138" s="3">
        <v>45722.729756944442</v>
      </c>
      <c r="O138" t="str">
        <f t="shared" si="20"/>
        <v>Mar</v>
      </c>
      <c r="P138" t="str">
        <f t="shared" si="21"/>
        <v>Thu</v>
      </c>
      <c r="Q138" t="str">
        <f t="shared" si="22"/>
        <v>Weekday</v>
      </c>
      <c r="R138">
        <f t="shared" si="23"/>
        <v>17</v>
      </c>
      <c r="S138" t="s">
        <v>528</v>
      </c>
    </row>
    <row r="139" spans="1:19" x14ac:dyDescent="0.25">
      <c r="A139">
        <v>6404</v>
      </c>
      <c r="B139" t="s">
        <v>159</v>
      </c>
      <c r="C139" t="s">
        <v>13</v>
      </c>
      <c r="D139" t="s">
        <v>14</v>
      </c>
      <c r="E139">
        <v>5</v>
      </c>
      <c r="F139" s="4">
        <v>16.54</v>
      </c>
      <c r="G139" s="4" t="str">
        <f t="shared" si="18"/>
        <v>Mid-Range</v>
      </c>
      <c r="H139" s="4">
        <f t="shared" si="24"/>
        <v>9.9239999999999995</v>
      </c>
      <c r="I139">
        <f t="shared" si="19"/>
        <v>82.699999999999989</v>
      </c>
      <c r="J139" s="4">
        <f t="shared" si="25"/>
        <v>72.775999999999982</v>
      </c>
      <c r="K139" s="8">
        <f t="shared" si="26"/>
        <v>0.87999999999999989</v>
      </c>
      <c r="L139" t="s">
        <v>11</v>
      </c>
      <c r="M139" s="2">
        <v>45722.812939814816</v>
      </c>
      <c r="N139" s="3">
        <v>45722.812939814816</v>
      </c>
      <c r="O139" t="str">
        <f t="shared" si="20"/>
        <v>Mar</v>
      </c>
      <c r="P139" t="str">
        <f t="shared" si="21"/>
        <v>Thu</v>
      </c>
      <c r="Q139" t="str">
        <f t="shared" si="22"/>
        <v>Weekday</v>
      </c>
      <c r="R139">
        <f t="shared" si="23"/>
        <v>19</v>
      </c>
      <c r="S139" t="s">
        <v>529</v>
      </c>
    </row>
    <row r="140" spans="1:19" x14ac:dyDescent="0.25">
      <c r="A140">
        <v>2342</v>
      </c>
      <c r="B140" t="s">
        <v>240</v>
      </c>
      <c r="C140" t="s">
        <v>9</v>
      </c>
      <c r="D140" t="s">
        <v>10</v>
      </c>
      <c r="E140">
        <v>4</v>
      </c>
      <c r="F140" s="4">
        <v>18.54</v>
      </c>
      <c r="G140" s="4" t="str">
        <f t="shared" si="18"/>
        <v>Mid-Range</v>
      </c>
      <c r="H140" s="4">
        <f t="shared" si="24"/>
        <v>11.123999999999999</v>
      </c>
      <c r="I140">
        <f t="shared" si="19"/>
        <v>74.16</v>
      </c>
      <c r="J140" s="4">
        <f t="shared" si="25"/>
        <v>63.036000000000001</v>
      </c>
      <c r="K140" s="8">
        <f t="shared" si="26"/>
        <v>0.85000000000000009</v>
      </c>
      <c r="L140" t="s">
        <v>15</v>
      </c>
      <c r="M140" s="2">
        <v>45723.58321759259</v>
      </c>
      <c r="N140" s="3">
        <v>45723.58321759259</v>
      </c>
      <c r="O140" t="str">
        <f t="shared" si="20"/>
        <v>Mar</v>
      </c>
      <c r="P140" t="str">
        <f t="shared" si="21"/>
        <v>Fri</v>
      </c>
      <c r="Q140" t="str">
        <f t="shared" si="22"/>
        <v>Weekend</v>
      </c>
      <c r="R140">
        <f t="shared" si="23"/>
        <v>13</v>
      </c>
      <c r="S140" t="s">
        <v>528</v>
      </c>
    </row>
    <row r="141" spans="1:19" x14ac:dyDescent="0.25">
      <c r="A141">
        <v>6279</v>
      </c>
      <c r="B141" t="s">
        <v>328</v>
      </c>
      <c r="C141" t="s">
        <v>13</v>
      </c>
      <c r="D141" t="s">
        <v>14</v>
      </c>
      <c r="E141">
        <v>1</v>
      </c>
      <c r="F141" s="4">
        <v>23.87</v>
      </c>
      <c r="G141" s="4" t="str">
        <f t="shared" si="18"/>
        <v>Premium</v>
      </c>
      <c r="H141" s="4">
        <f t="shared" si="24"/>
        <v>14.322000000000001</v>
      </c>
      <c r="I141">
        <f t="shared" si="19"/>
        <v>23.87</v>
      </c>
      <c r="J141" s="4">
        <f t="shared" si="25"/>
        <v>9.548</v>
      </c>
      <c r="K141" s="8">
        <f t="shared" si="26"/>
        <v>0.39999999999999997</v>
      </c>
      <c r="L141" t="s">
        <v>17</v>
      </c>
      <c r="M141" s="2">
        <v>45724.710231481484</v>
      </c>
      <c r="N141" s="3">
        <v>45724.710231481484</v>
      </c>
      <c r="O141" t="str">
        <f t="shared" si="20"/>
        <v>Mar</v>
      </c>
      <c r="P141" t="str">
        <f t="shared" si="21"/>
        <v>Sat</v>
      </c>
      <c r="Q141" t="str">
        <f t="shared" si="22"/>
        <v>Weekend</v>
      </c>
      <c r="R141">
        <f t="shared" si="23"/>
        <v>17</v>
      </c>
      <c r="S141" t="s">
        <v>528</v>
      </c>
    </row>
    <row r="142" spans="1:19" x14ac:dyDescent="0.25">
      <c r="A142">
        <v>3609</v>
      </c>
      <c r="B142" t="s">
        <v>438</v>
      </c>
      <c r="C142" t="s">
        <v>40</v>
      </c>
      <c r="D142" t="s">
        <v>22</v>
      </c>
      <c r="E142">
        <v>2</v>
      </c>
      <c r="F142" s="4">
        <v>15.5</v>
      </c>
      <c r="G142" s="4" t="str">
        <f t="shared" si="18"/>
        <v>Mid-Range</v>
      </c>
      <c r="H142" s="4">
        <f t="shared" si="24"/>
        <v>9.2999999999999989</v>
      </c>
      <c r="I142">
        <f t="shared" si="19"/>
        <v>31</v>
      </c>
      <c r="J142" s="4">
        <f t="shared" si="25"/>
        <v>21.700000000000003</v>
      </c>
      <c r="K142" s="8">
        <f t="shared" si="26"/>
        <v>0.70000000000000007</v>
      </c>
      <c r="L142" t="s">
        <v>11</v>
      </c>
      <c r="M142" s="2">
        <v>45724.995868055557</v>
      </c>
      <c r="N142" s="3">
        <v>45724.995868055557</v>
      </c>
      <c r="O142" t="str">
        <f t="shared" si="20"/>
        <v>Mar</v>
      </c>
      <c r="P142" t="str">
        <f t="shared" si="21"/>
        <v>Sat</v>
      </c>
      <c r="Q142" t="str">
        <f t="shared" si="22"/>
        <v>Weekend</v>
      </c>
      <c r="R142">
        <f t="shared" si="23"/>
        <v>23</v>
      </c>
      <c r="S142" t="s">
        <v>529</v>
      </c>
    </row>
    <row r="143" spans="1:19" x14ac:dyDescent="0.25">
      <c r="A143">
        <v>3308</v>
      </c>
      <c r="B143" t="s">
        <v>129</v>
      </c>
      <c r="C143" t="s">
        <v>37</v>
      </c>
      <c r="D143" t="s">
        <v>10</v>
      </c>
      <c r="E143">
        <v>4</v>
      </c>
      <c r="F143" s="4">
        <v>8.66</v>
      </c>
      <c r="G143" s="4" t="str">
        <f t="shared" si="18"/>
        <v>Budget</v>
      </c>
      <c r="H143" s="4">
        <f t="shared" si="24"/>
        <v>5.1959999999999997</v>
      </c>
      <c r="I143">
        <f t="shared" si="19"/>
        <v>34.64</v>
      </c>
      <c r="J143" s="4">
        <f t="shared" si="25"/>
        <v>29.444000000000003</v>
      </c>
      <c r="K143" s="8">
        <f t="shared" si="26"/>
        <v>0.85000000000000009</v>
      </c>
      <c r="L143" t="s">
        <v>11</v>
      </c>
      <c r="M143" s="2">
        <v>45726.297546296293</v>
      </c>
      <c r="N143" s="3">
        <v>45726.297546296293</v>
      </c>
      <c r="O143" t="str">
        <f t="shared" si="20"/>
        <v>Mar</v>
      </c>
      <c r="P143" t="str">
        <f t="shared" si="21"/>
        <v>Mon</v>
      </c>
      <c r="Q143" t="str">
        <f t="shared" si="22"/>
        <v>Weekday</v>
      </c>
      <c r="R143">
        <f t="shared" si="23"/>
        <v>7</v>
      </c>
      <c r="S143" t="s">
        <v>527</v>
      </c>
    </row>
    <row r="144" spans="1:19" x14ac:dyDescent="0.25">
      <c r="A144">
        <v>3652</v>
      </c>
      <c r="B144" t="s">
        <v>140</v>
      </c>
      <c r="C144" t="s">
        <v>40</v>
      </c>
      <c r="D144" t="s">
        <v>22</v>
      </c>
      <c r="E144">
        <v>5</v>
      </c>
      <c r="F144" s="4">
        <v>21.85</v>
      </c>
      <c r="G144" s="4" t="str">
        <f t="shared" si="18"/>
        <v>Premium</v>
      </c>
      <c r="H144" s="4">
        <f t="shared" si="24"/>
        <v>13.110000000000001</v>
      </c>
      <c r="I144">
        <f t="shared" si="19"/>
        <v>109.25</v>
      </c>
      <c r="J144" s="4">
        <f t="shared" si="25"/>
        <v>96.14</v>
      </c>
      <c r="K144" s="8">
        <f t="shared" si="26"/>
        <v>0.88</v>
      </c>
      <c r="L144" t="s">
        <v>17</v>
      </c>
      <c r="M144" s="2">
        <v>45726.316990740743</v>
      </c>
      <c r="N144" s="3">
        <v>45726.316990740743</v>
      </c>
      <c r="O144" t="str">
        <f t="shared" si="20"/>
        <v>Mar</v>
      </c>
      <c r="P144" t="str">
        <f t="shared" si="21"/>
        <v>Mon</v>
      </c>
      <c r="Q144" t="str">
        <f t="shared" si="22"/>
        <v>Weekday</v>
      </c>
      <c r="R144">
        <f t="shared" si="23"/>
        <v>7</v>
      </c>
      <c r="S144" t="s">
        <v>527</v>
      </c>
    </row>
    <row r="145" spans="1:19" x14ac:dyDescent="0.25">
      <c r="A145">
        <v>4389</v>
      </c>
      <c r="B145" t="s">
        <v>340</v>
      </c>
      <c r="C145" t="s">
        <v>35</v>
      </c>
      <c r="D145" t="s">
        <v>22</v>
      </c>
      <c r="E145">
        <v>3</v>
      </c>
      <c r="F145" s="4">
        <v>24.74</v>
      </c>
      <c r="G145" s="4" t="str">
        <f t="shared" si="18"/>
        <v>Premium</v>
      </c>
      <c r="H145" s="4">
        <f t="shared" si="24"/>
        <v>14.843999999999998</v>
      </c>
      <c r="I145">
        <f t="shared" si="19"/>
        <v>74.22</v>
      </c>
      <c r="J145" s="4">
        <f t="shared" si="25"/>
        <v>59.376000000000005</v>
      </c>
      <c r="K145" s="8">
        <f t="shared" si="26"/>
        <v>0.8</v>
      </c>
      <c r="L145" t="s">
        <v>15</v>
      </c>
      <c r="M145" s="2">
        <v>45726.665162037039</v>
      </c>
      <c r="N145" s="3">
        <v>45726.665162037039</v>
      </c>
      <c r="O145" t="str">
        <f t="shared" si="20"/>
        <v>Mar</v>
      </c>
      <c r="P145" t="str">
        <f t="shared" si="21"/>
        <v>Mon</v>
      </c>
      <c r="Q145" t="str">
        <f t="shared" si="22"/>
        <v>Weekday</v>
      </c>
      <c r="R145">
        <f t="shared" si="23"/>
        <v>15</v>
      </c>
      <c r="S145" t="s">
        <v>528</v>
      </c>
    </row>
    <row r="146" spans="1:19" x14ac:dyDescent="0.25">
      <c r="A146">
        <v>7900</v>
      </c>
      <c r="B146" t="s">
        <v>459</v>
      </c>
      <c r="C146" t="s">
        <v>37</v>
      </c>
      <c r="D146" t="s">
        <v>10</v>
      </c>
      <c r="E146">
        <v>4</v>
      </c>
      <c r="F146" s="4">
        <v>3.61</v>
      </c>
      <c r="G146" s="4" t="str">
        <f t="shared" si="18"/>
        <v>Budget</v>
      </c>
      <c r="H146" s="4">
        <f t="shared" si="24"/>
        <v>2.1659999999999999</v>
      </c>
      <c r="I146">
        <f t="shared" si="19"/>
        <v>14.44</v>
      </c>
      <c r="J146" s="4">
        <f t="shared" si="25"/>
        <v>12.273999999999999</v>
      </c>
      <c r="K146" s="8">
        <f t="shared" si="26"/>
        <v>0.85</v>
      </c>
      <c r="L146" t="s">
        <v>19</v>
      </c>
      <c r="M146" s="2">
        <v>45727.508009259262</v>
      </c>
      <c r="N146" s="3">
        <v>45727.508009259262</v>
      </c>
      <c r="O146" t="str">
        <f t="shared" si="20"/>
        <v>Mar</v>
      </c>
      <c r="P146" t="str">
        <f t="shared" si="21"/>
        <v>Tue</v>
      </c>
      <c r="Q146" t="str">
        <f t="shared" si="22"/>
        <v>Weekday</v>
      </c>
      <c r="R146">
        <f t="shared" si="23"/>
        <v>12</v>
      </c>
      <c r="S146" t="s">
        <v>528</v>
      </c>
    </row>
    <row r="147" spans="1:19" x14ac:dyDescent="0.25">
      <c r="A147">
        <v>3007</v>
      </c>
      <c r="B147" t="s">
        <v>60</v>
      </c>
      <c r="C147" t="s">
        <v>33</v>
      </c>
      <c r="D147" t="s">
        <v>14</v>
      </c>
      <c r="E147">
        <v>5</v>
      </c>
      <c r="F147" s="4">
        <v>10.42</v>
      </c>
      <c r="G147" s="4" t="str">
        <f t="shared" si="18"/>
        <v>Mid-Range</v>
      </c>
      <c r="H147" s="4">
        <f t="shared" si="24"/>
        <v>6.2519999999999998</v>
      </c>
      <c r="I147">
        <f t="shared" si="19"/>
        <v>52.1</v>
      </c>
      <c r="J147" s="4">
        <f t="shared" si="25"/>
        <v>45.847999999999999</v>
      </c>
      <c r="K147" s="8">
        <f t="shared" si="26"/>
        <v>0.88</v>
      </c>
      <c r="L147" t="s">
        <v>19</v>
      </c>
      <c r="M147" s="2">
        <v>45727.660358796296</v>
      </c>
      <c r="N147" s="3">
        <v>45727.660358796296</v>
      </c>
      <c r="O147" t="str">
        <f t="shared" si="20"/>
        <v>Mar</v>
      </c>
      <c r="P147" t="str">
        <f t="shared" si="21"/>
        <v>Tue</v>
      </c>
      <c r="Q147" t="str">
        <f t="shared" si="22"/>
        <v>Weekday</v>
      </c>
      <c r="R147">
        <f t="shared" si="23"/>
        <v>15</v>
      </c>
      <c r="S147" t="s">
        <v>528</v>
      </c>
    </row>
    <row r="148" spans="1:19" x14ac:dyDescent="0.25">
      <c r="A148">
        <v>9566</v>
      </c>
      <c r="B148" t="s">
        <v>212</v>
      </c>
      <c r="C148" t="s">
        <v>9</v>
      </c>
      <c r="D148" t="s">
        <v>10</v>
      </c>
      <c r="E148">
        <v>1</v>
      </c>
      <c r="F148" s="4">
        <v>23.91</v>
      </c>
      <c r="G148" s="4" t="str">
        <f t="shared" si="18"/>
        <v>Premium</v>
      </c>
      <c r="H148" s="4">
        <f t="shared" si="24"/>
        <v>14.346</v>
      </c>
      <c r="I148">
        <f t="shared" si="19"/>
        <v>23.91</v>
      </c>
      <c r="J148" s="4">
        <f t="shared" si="25"/>
        <v>9.5640000000000001</v>
      </c>
      <c r="K148" s="8">
        <f t="shared" si="26"/>
        <v>0.4</v>
      </c>
      <c r="L148" t="s">
        <v>15</v>
      </c>
      <c r="M148" s="2">
        <v>45727.718553240738</v>
      </c>
      <c r="N148" s="3">
        <v>45727.718553240738</v>
      </c>
      <c r="O148" t="str">
        <f t="shared" si="20"/>
        <v>Mar</v>
      </c>
      <c r="P148" t="str">
        <f t="shared" si="21"/>
        <v>Tue</v>
      </c>
      <c r="Q148" t="str">
        <f t="shared" si="22"/>
        <v>Weekday</v>
      </c>
      <c r="R148">
        <f t="shared" si="23"/>
        <v>17</v>
      </c>
      <c r="S148" t="s">
        <v>528</v>
      </c>
    </row>
    <row r="149" spans="1:19" x14ac:dyDescent="0.25">
      <c r="A149">
        <v>2318</v>
      </c>
      <c r="B149" t="s">
        <v>412</v>
      </c>
      <c r="C149" t="s">
        <v>21</v>
      </c>
      <c r="D149" t="s">
        <v>22</v>
      </c>
      <c r="E149">
        <v>5</v>
      </c>
      <c r="F149" s="4">
        <v>13.95</v>
      </c>
      <c r="G149" s="4" t="str">
        <f t="shared" si="18"/>
        <v>Mid-Range</v>
      </c>
      <c r="H149" s="4">
        <f t="shared" si="24"/>
        <v>8.3699999999999992</v>
      </c>
      <c r="I149">
        <f t="shared" si="19"/>
        <v>69.75</v>
      </c>
      <c r="J149" s="4">
        <f t="shared" si="25"/>
        <v>61.38</v>
      </c>
      <c r="K149" s="8">
        <f t="shared" si="26"/>
        <v>0.88</v>
      </c>
      <c r="L149" t="s">
        <v>15</v>
      </c>
      <c r="M149" s="2">
        <v>45728.318530092591</v>
      </c>
      <c r="N149" s="3">
        <v>45728.318530092591</v>
      </c>
      <c r="O149" t="str">
        <f t="shared" si="20"/>
        <v>Mar</v>
      </c>
      <c r="P149" t="str">
        <f t="shared" si="21"/>
        <v>Wed</v>
      </c>
      <c r="Q149" t="str">
        <f t="shared" si="22"/>
        <v>Weekday</v>
      </c>
      <c r="R149">
        <f t="shared" si="23"/>
        <v>7</v>
      </c>
      <c r="S149" t="s">
        <v>527</v>
      </c>
    </row>
    <row r="150" spans="1:19" x14ac:dyDescent="0.25">
      <c r="A150">
        <v>9325</v>
      </c>
      <c r="B150" t="s">
        <v>111</v>
      </c>
      <c r="C150" t="s">
        <v>33</v>
      </c>
      <c r="D150" t="s">
        <v>14</v>
      </c>
      <c r="E150">
        <v>4</v>
      </c>
      <c r="F150" s="4">
        <v>19.48</v>
      </c>
      <c r="G150" s="4" t="str">
        <f t="shared" si="18"/>
        <v>Mid-Range</v>
      </c>
      <c r="H150" s="4">
        <f t="shared" si="24"/>
        <v>11.688000000000001</v>
      </c>
      <c r="I150">
        <f t="shared" si="19"/>
        <v>77.92</v>
      </c>
      <c r="J150" s="4">
        <f t="shared" si="25"/>
        <v>66.231999999999999</v>
      </c>
      <c r="K150" s="8">
        <f t="shared" si="26"/>
        <v>0.85</v>
      </c>
      <c r="L150" t="s">
        <v>11</v>
      </c>
      <c r="M150" s="2">
        <v>45728.337858796294</v>
      </c>
      <c r="N150" s="3">
        <v>45728.337858796294</v>
      </c>
      <c r="O150" t="str">
        <f t="shared" si="20"/>
        <v>Mar</v>
      </c>
      <c r="P150" t="str">
        <f t="shared" si="21"/>
        <v>Wed</v>
      </c>
      <c r="Q150" t="str">
        <f t="shared" si="22"/>
        <v>Weekday</v>
      </c>
      <c r="R150">
        <f t="shared" si="23"/>
        <v>8</v>
      </c>
      <c r="S150" t="s">
        <v>527</v>
      </c>
    </row>
    <row r="151" spans="1:19" x14ac:dyDescent="0.25">
      <c r="A151">
        <v>2894</v>
      </c>
      <c r="B151" t="s">
        <v>388</v>
      </c>
      <c r="C151" t="s">
        <v>33</v>
      </c>
      <c r="D151" t="s">
        <v>14</v>
      </c>
      <c r="E151">
        <v>2</v>
      </c>
      <c r="F151" s="4">
        <v>18.21</v>
      </c>
      <c r="G151" s="4" t="str">
        <f t="shared" si="18"/>
        <v>Mid-Range</v>
      </c>
      <c r="H151" s="4">
        <f t="shared" si="24"/>
        <v>10.926</v>
      </c>
      <c r="I151">
        <f t="shared" si="19"/>
        <v>36.42</v>
      </c>
      <c r="J151" s="4">
        <f t="shared" si="25"/>
        <v>25.494</v>
      </c>
      <c r="K151" s="8">
        <f t="shared" si="26"/>
        <v>0.7</v>
      </c>
      <c r="L151" t="s">
        <v>19</v>
      </c>
      <c r="M151" s="2">
        <v>45728.564456018517</v>
      </c>
      <c r="N151" s="3">
        <v>45728.564456018517</v>
      </c>
      <c r="O151" t="str">
        <f t="shared" si="20"/>
        <v>Mar</v>
      </c>
      <c r="P151" t="str">
        <f t="shared" si="21"/>
        <v>Wed</v>
      </c>
      <c r="Q151" t="str">
        <f t="shared" si="22"/>
        <v>Weekday</v>
      </c>
      <c r="R151">
        <f t="shared" si="23"/>
        <v>13</v>
      </c>
      <c r="S151" t="s">
        <v>528</v>
      </c>
    </row>
    <row r="152" spans="1:19" x14ac:dyDescent="0.25">
      <c r="A152">
        <v>1402</v>
      </c>
      <c r="B152" t="s">
        <v>469</v>
      </c>
      <c r="C152" t="s">
        <v>13</v>
      </c>
      <c r="D152" t="s">
        <v>14</v>
      </c>
      <c r="E152">
        <v>4</v>
      </c>
      <c r="F152" s="4">
        <v>15.75</v>
      </c>
      <c r="G152" s="4" t="str">
        <f t="shared" si="18"/>
        <v>Mid-Range</v>
      </c>
      <c r="H152" s="4">
        <f t="shared" si="24"/>
        <v>9.4499999999999993</v>
      </c>
      <c r="I152">
        <f t="shared" si="19"/>
        <v>63</v>
      </c>
      <c r="J152" s="4">
        <f t="shared" si="25"/>
        <v>53.55</v>
      </c>
      <c r="K152" s="8">
        <f t="shared" si="26"/>
        <v>0.85</v>
      </c>
      <c r="L152" t="s">
        <v>17</v>
      </c>
      <c r="M152" s="2">
        <v>45728.588634259257</v>
      </c>
      <c r="N152" s="3">
        <v>45728.588634259257</v>
      </c>
      <c r="O152" t="str">
        <f t="shared" si="20"/>
        <v>Mar</v>
      </c>
      <c r="P152" t="str">
        <f t="shared" si="21"/>
        <v>Wed</v>
      </c>
      <c r="Q152" t="str">
        <f t="shared" si="22"/>
        <v>Weekday</v>
      </c>
      <c r="R152">
        <f t="shared" si="23"/>
        <v>14</v>
      </c>
      <c r="S152" t="s">
        <v>528</v>
      </c>
    </row>
    <row r="153" spans="1:19" x14ac:dyDescent="0.25">
      <c r="A153">
        <v>8482</v>
      </c>
      <c r="B153" t="s">
        <v>345</v>
      </c>
      <c r="C153" t="s">
        <v>28</v>
      </c>
      <c r="D153" t="s">
        <v>14</v>
      </c>
      <c r="E153">
        <v>1</v>
      </c>
      <c r="F153" s="4">
        <v>17.95</v>
      </c>
      <c r="G153" s="4" t="str">
        <f t="shared" si="18"/>
        <v>Mid-Range</v>
      </c>
      <c r="H153" s="4">
        <f t="shared" si="24"/>
        <v>10.77</v>
      </c>
      <c r="I153">
        <f t="shared" si="19"/>
        <v>17.95</v>
      </c>
      <c r="J153" s="4">
        <f t="shared" si="25"/>
        <v>7.18</v>
      </c>
      <c r="K153" s="8">
        <f t="shared" si="26"/>
        <v>0.4</v>
      </c>
      <c r="L153" t="s">
        <v>17</v>
      </c>
      <c r="M153" s="2">
        <v>45730.17664351852</v>
      </c>
      <c r="N153" s="3">
        <v>45730.17664351852</v>
      </c>
      <c r="O153" t="str">
        <f t="shared" si="20"/>
        <v>Mar</v>
      </c>
      <c r="P153" t="str">
        <f t="shared" si="21"/>
        <v>Fri</v>
      </c>
      <c r="Q153" t="str">
        <f t="shared" si="22"/>
        <v>Weekend</v>
      </c>
      <c r="R153">
        <f t="shared" si="23"/>
        <v>4</v>
      </c>
      <c r="S153" t="s">
        <v>527</v>
      </c>
    </row>
    <row r="154" spans="1:19" x14ac:dyDescent="0.25">
      <c r="A154">
        <v>9739</v>
      </c>
      <c r="B154" t="s">
        <v>142</v>
      </c>
      <c r="C154" t="s">
        <v>28</v>
      </c>
      <c r="D154" t="s">
        <v>14</v>
      </c>
      <c r="E154">
        <v>5</v>
      </c>
      <c r="F154" s="4">
        <v>19.649999999999999</v>
      </c>
      <c r="G154" s="4" t="str">
        <f t="shared" si="18"/>
        <v>Mid-Range</v>
      </c>
      <c r="H154" s="4">
        <f t="shared" si="24"/>
        <v>11.79</v>
      </c>
      <c r="I154">
        <f t="shared" si="19"/>
        <v>98.25</v>
      </c>
      <c r="J154" s="4">
        <f t="shared" si="25"/>
        <v>86.460000000000008</v>
      </c>
      <c r="K154" s="8">
        <f t="shared" si="26"/>
        <v>0.88000000000000012</v>
      </c>
      <c r="L154" t="s">
        <v>17</v>
      </c>
      <c r="M154" s="2">
        <v>45730.247187499997</v>
      </c>
      <c r="N154" s="3">
        <v>45730.247187499997</v>
      </c>
      <c r="O154" t="str">
        <f t="shared" si="20"/>
        <v>Mar</v>
      </c>
      <c r="P154" t="str">
        <f t="shared" si="21"/>
        <v>Fri</v>
      </c>
      <c r="Q154" t="str">
        <f t="shared" si="22"/>
        <v>Weekend</v>
      </c>
      <c r="R154">
        <f t="shared" si="23"/>
        <v>5</v>
      </c>
      <c r="S154" t="s">
        <v>527</v>
      </c>
    </row>
    <row r="155" spans="1:19" x14ac:dyDescent="0.25">
      <c r="A155">
        <v>6263</v>
      </c>
      <c r="B155" t="s">
        <v>334</v>
      </c>
      <c r="C155" t="s">
        <v>40</v>
      </c>
      <c r="D155" t="s">
        <v>22</v>
      </c>
      <c r="E155">
        <v>5</v>
      </c>
      <c r="F155" s="4">
        <v>6.99</v>
      </c>
      <c r="G155" s="4" t="str">
        <f t="shared" si="18"/>
        <v>Budget</v>
      </c>
      <c r="H155" s="4">
        <f t="shared" si="24"/>
        <v>4.194</v>
      </c>
      <c r="I155">
        <f t="shared" si="19"/>
        <v>34.950000000000003</v>
      </c>
      <c r="J155" s="4">
        <f t="shared" si="25"/>
        <v>30.756000000000004</v>
      </c>
      <c r="K155" s="8">
        <f t="shared" si="26"/>
        <v>0.88</v>
      </c>
      <c r="L155" t="s">
        <v>11</v>
      </c>
      <c r="M155" s="2">
        <v>45730.274988425925</v>
      </c>
      <c r="N155" s="3">
        <v>45730.274988425925</v>
      </c>
      <c r="O155" t="str">
        <f t="shared" si="20"/>
        <v>Mar</v>
      </c>
      <c r="P155" t="str">
        <f t="shared" si="21"/>
        <v>Fri</v>
      </c>
      <c r="Q155" t="str">
        <f t="shared" si="22"/>
        <v>Weekend</v>
      </c>
      <c r="R155">
        <f t="shared" si="23"/>
        <v>6</v>
      </c>
      <c r="S155" t="s">
        <v>527</v>
      </c>
    </row>
    <row r="156" spans="1:19" x14ac:dyDescent="0.25">
      <c r="A156">
        <v>4569</v>
      </c>
      <c r="B156" t="s">
        <v>153</v>
      </c>
      <c r="C156" t="s">
        <v>30</v>
      </c>
      <c r="D156" t="s">
        <v>10</v>
      </c>
      <c r="E156">
        <v>4</v>
      </c>
      <c r="F156" s="4">
        <v>19.73</v>
      </c>
      <c r="G156" s="4" t="str">
        <f t="shared" si="18"/>
        <v>Mid-Range</v>
      </c>
      <c r="H156" s="4">
        <f t="shared" si="24"/>
        <v>11.837999999999999</v>
      </c>
      <c r="I156">
        <f t="shared" si="19"/>
        <v>78.92</v>
      </c>
      <c r="J156" s="4">
        <f t="shared" si="25"/>
        <v>67.082000000000008</v>
      </c>
      <c r="K156" s="8">
        <f t="shared" si="26"/>
        <v>0.85000000000000009</v>
      </c>
      <c r="L156" t="s">
        <v>17</v>
      </c>
      <c r="M156" s="2">
        <v>45730.397476851853</v>
      </c>
      <c r="N156" s="3">
        <v>45730.397476851853</v>
      </c>
      <c r="O156" t="str">
        <f t="shared" si="20"/>
        <v>Mar</v>
      </c>
      <c r="P156" t="str">
        <f t="shared" si="21"/>
        <v>Fri</v>
      </c>
      <c r="Q156" t="str">
        <f t="shared" si="22"/>
        <v>Weekend</v>
      </c>
      <c r="R156">
        <f t="shared" si="23"/>
        <v>9</v>
      </c>
      <c r="S156" t="s">
        <v>527</v>
      </c>
    </row>
    <row r="157" spans="1:19" x14ac:dyDescent="0.25">
      <c r="A157">
        <v>2651</v>
      </c>
      <c r="B157" t="s">
        <v>53</v>
      </c>
      <c r="C157" t="s">
        <v>21</v>
      </c>
      <c r="D157" t="s">
        <v>22</v>
      </c>
      <c r="E157">
        <v>3</v>
      </c>
      <c r="F157" s="4">
        <v>24.99</v>
      </c>
      <c r="G157" s="4" t="str">
        <f t="shared" si="18"/>
        <v>Premium</v>
      </c>
      <c r="H157" s="4">
        <f t="shared" si="24"/>
        <v>14.993999999999998</v>
      </c>
      <c r="I157">
        <f t="shared" si="19"/>
        <v>74.97</v>
      </c>
      <c r="J157" s="4">
        <f t="shared" si="25"/>
        <v>59.975999999999999</v>
      </c>
      <c r="K157" s="8">
        <f t="shared" si="26"/>
        <v>0.8</v>
      </c>
      <c r="L157" t="s">
        <v>19</v>
      </c>
      <c r="M157" s="2">
        <v>45730.524212962962</v>
      </c>
      <c r="N157" s="3">
        <v>45730.524212962962</v>
      </c>
      <c r="O157" t="str">
        <f t="shared" si="20"/>
        <v>Mar</v>
      </c>
      <c r="P157" t="str">
        <f t="shared" si="21"/>
        <v>Fri</v>
      </c>
      <c r="Q157" t="str">
        <f t="shared" si="22"/>
        <v>Weekend</v>
      </c>
      <c r="R157">
        <f t="shared" si="23"/>
        <v>12</v>
      </c>
      <c r="S157" t="s">
        <v>528</v>
      </c>
    </row>
    <row r="158" spans="1:19" x14ac:dyDescent="0.25">
      <c r="A158">
        <v>5649</v>
      </c>
      <c r="B158" t="s">
        <v>39</v>
      </c>
      <c r="C158" t="s">
        <v>40</v>
      </c>
      <c r="D158" t="s">
        <v>22</v>
      </c>
      <c r="E158">
        <v>4</v>
      </c>
      <c r="F158" s="4">
        <v>21.98</v>
      </c>
      <c r="G158" s="4" t="str">
        <f t="shared" si="18"/>
        <v>Premium</v>
      </c>
      <c r="H158" s="4">
        <f t="shared" si="24"/>
        <v>13.188000000000001</v>
      </c>
      <c r="I158">
        <f t="shared" si="19"/>
        <v>87.92</v>
      </c>
      <c r="J158" s="4">
        <f t="shared" si="25"/>
        <v>74.731999999999999</v>
      </c>
      <c r="K158" s="8">
        <f t="shared" si="26"/>
        <v>0.85</v>
      </c>
      <c r="L158" t="s">
        <v>19</v>
      </c>
      <c r="M158" s="2">
        <v>45730.658009259256</v>
      </c>
      <c r="N158" s="3">
        <v>45730.658009259256</v>
      </c>
      <c r="O158" t="str">
        <f t="shared" si="20"/>
        <v>Mar</v>
      </c>
      <c r="P158" t="str">
        <f t="shared" si="21"/>
        <v>Fri</v>
      </c>
      <c r="Q158" t="str">
        <f t="shared" si="22"/>
        <v>Weekend</v>
      </c>
      <c r="R158">
        <f t="shared" si="23"/>
        <v>15</v>
      </c>
      <c r="S158" t="s">
        <v>528</v>
      </c>
    </row>
    <row r="159" spans="1:19" x14ac:dyDescent="0.25">
      <c r="A159">
        <v>9447</v>
      </c>
      <c r="B159" t="s">
        <v>20</v>
      </c>
      <c r="C159" t="s">
        <v>21</v>
      </c>
      <c r="D159" t="s">
        <v>22</v>
      </c>
      <c r="E159">
        <v>1</v>
      </c>
      <c r="F159" s="4">
        <v>12.23</v>
      </c>
      <c r="G159" s="4" t="str">
        <f t="shared" si="18"/>
        <v>Mid-Range</v>
      </c>
      <c r="H159" s="4">
        <f t="shared" si="24"/>
        <v>7.3380000000000001</v>
      </c>
      <c r="I159">
        <f t="shared" si="19"/>
        <v>12.23</v>
      </c>
      <c r="J159" s="4">
        <f t="shared" si="25"/>
        <v>4.8920000000000003</v>
      </c>
      <c r="K159" s="8">
        <f t="shared" si="26"/>
        <v>0.4</v>
      </c>
      <c r="L159" t="s">
        <v>11</v>
      </c>
      <c r="M159" s="2">
        <v>45731.601342592592</v>
      </c>
      <c r="N159" s="3">
        <v>45731.601342592592</v>
      </c>
      <c r="O159" t="str">
        <f t="shared" si="20"/>
        <v>Mar</v>
      </c>
      <c r="P159" t="str">
        <f t="shared" si="21"/>
        <v>Sat</v>
      </c>
      <c r="Q159" t="str">
        <f t="shared" si="22"/>
        <v>Weekend</v>
      </c>
      <c r="R159">
        <f t="shared" si="23"/>
        <v>14</v>
      </c>
      <c r="S159" t="s">
        <v>528</v>
      </c>
    </row>
    <row r="160" spans="1:19" x14ac:dyDescent="0.25">
      <c r="A160">
        <v>7424</v>
      </c>
      <c r="B160" t="s">
        <v>443</v>
      </c>
      <c r="C160" t="s">
        <v>28</v>
      </c>
      <c r="D160" t="s">
        <v>14</v>
      </c>
      <c r="E160">
        <v>1</v>
      </c>
      <c r="F160" s="4">
        <v>2.5099999999999998</v>
      </c>
      <c r="G160" s="4" t="str">
        <f t="shared" si="18"/>
        <v>Budget</v>
      </c>
      <c r="H160" s="4">
        <f t="shared" si="24"/>
        <v>1.5059999999999998</v>
      </c>
      <c r="I160">
        <f t="shared" si="19"/>
        <v>2.5099999999999998</v>
      </c>
      <c r="J160" s="4">
        <f t="shared" si="25"/>
        <v>1.004</v>
      </c>
      <c r="K160" s="8">
        <f t="shared" si="26"/>
        <v>0.4</v>
      </c>
      <c r="L160" t="s">
        <v>17</v>
      </c>
      <c r="M160" s="2">
        <v>45732.384548611109</v>
      </c>
      <c r="N160" s="3">
        <v>45732.384548611109</v>
      </c>
      <c r="O160" t="str">
        <f t="shared" si="20"/>
        <v>Mar</v>
      </c>
      <c r="P160" t="str">
        <f t="shared" si="21"/>
        <v>Sun</v>
      </c>
      <c r="Q160" t="str">
        <f t="shared" si="22"/>
        <v>Weekday</v>
      </c>
      <c r="R160">
        <f t="shared" si="23"/>
        <v>9</v>
      </c>
      <c r="S160" t="s">
        <v>527</v>
      </c>
    </row>
    <row r="161" spans="1:19" x14ac:dyDescent="0.25">
      <c r="A161">
        <v>4525</v>
      </c>
      <c r="B161" t="s">
        <v>415</v>
      </c>
      <c r="C161" t="s">
        <v>40</v>
      </c>
      <c r="D161" t="s">
        <v>22</v>
      </c>
      <c r="E161">
        <v>5</v>
      </c>
      <c r="F161" s="4">
        <v>23.15</v>
      </c>
      <c r="G161" s="4" t="str">
        <f t="shared" si="18"/>
        <v>Premium</v>
      </c>
      <c r="H161" s="4">
        <f t="shared" si="24"/>
        <v>13.889999999999999</v>
      </c>
      <c r="I161">
        <f t="shared" si="19"/>
        <v>115.75</v>
      </c>
      <c r="J161" s="4">
        <f t="shared" si="25"/>
        <v>101.86</v>
      </c>
      <c r="K161" s="8">
        <f t="shared" si="26"/>
        <v>0.88</v>
      </c>
      <c r="L161" t="s">
        <v>17</v>
      </c>
      <c r="M161" s="2">
        <v>45733.378981481481</v>
      </c>
      <c r="N161" s="3">
        <v>45733.378981481481</v>
      </c>
      <c r="O161" t="str">
        <f t="shared" si="20"/>
        <v>Mar</v>
      </c>
      <c r="P161" t="str">
        <f t="shared" si="21"/>
        <v>Mon</v>
      </c>
      <c r="Q161" t="str">
        <f t="shared" si="22"/>
        <v>Weekday</v>
      </c>
      <c r="R161">
        <f t="shared" si="23"/>
        <v>9</v>
      </c>
      <c r="S161" t="s">
        <v>527</v>
      </c>
    </row>
    <row r="162" spans="1:19" x14ac:dyDescent="0.25">
      <c r="A162">
        <v>6792</v>
      </c>
      <c r="B162" t="s">
        <v>368</v>
      </c>
      <c r="C162" t="s">
        <v>21</v>
      </c>
      <c r="D162" t="s">
        <v>22</v>
      </c>
      <c r="E162">
        <v>4</v>
      </c>
      <c r="F162" s="4">
        <v>8.76</v>
      </c>
      <c r="G162" s="4" t="str">
        <f t="shared" si="18"/>
        <v>Budget</v>
      </c>
      <c r="H162" s="4">
        <f t="shared" si="24"/>
        <v>5.2559999999999993</v>
      </c>
      <c r="I162">
        <f t="shared" si="19"/>
        <v>35.04</v>
      </c>
      <c r="J162" s="4">
        <f t="shared" si="25"/>
        <v>29.783999999999999</v>
      </c>
      <c r="K162" s="8">
        <f t="shared" si="26"/>
        <v>0.85</v>
      </c>
      <c r="L162" t="s">
        <v>19</v>
      </c>
      <c r="M162" s="2">
        <v>45734.559363425928</v>
      </c>
      <c r="N162" s="3">
        <v>45734.559363425928</v>
      </c>
      <c r="O162" t="str">
        <f t="shared" si="20"/>
        <v>Mar</v>
      </c>
      <c r="P162" t="str">
        <f t="shared" si="21"/>
        <v>Tue</v>
      </c>
      <c r="Q162" t="str">
        <f t="shared" si="22"/>
        <v>Weekday</v>
      </c>
      <c r="R162">
        <f t="shared" si="23"/>
        <v>13</v>
      </c>
      <c r="S162" t="s">
        <v>528</v>
      </c>
    </row>
    <row r="163" spans="1:19" x14ac:dyDescent="0.25">
      <c r="A163">
        <v>8290</v>
      </c>
      <c r="B163" t="s">
        <v>327</v>
      </c>
      <c r="C163" t="s">
        <v>21</v>
      </c>
      <c r="D163" t="s">
        <v>22</v>
      </c>
      <c r="E163">
        <v>2</v>
      </c>
      <c r="F163" s="4">
        <v>16.98</v>
      </c>
      <c r="G163" s="4" t="str">
        <f t="shared" si="18"/>
        <v>Mid-Range</v>
      </c>
      <c r="H163" s="4">
        <f t="shared" si="24"/>
        <v>10.188000000000001</v>
      </c>
      <c r="I163">
        <f t="shared" si="19"/>
        <v>33.96</v>
      </c>
      <c r="J163" s="4">
        <f t="shared" si="25"/>
        <v>23.771999999999998</v>
      </c>
      <c r="K163" s="8">
        <f t="shared" si="26"/>
        <v>0.7</v>
      </c>
      <c r="L163" t="s">
        <v>17</v>
      </c>
      <c r="M163" s="2">
        <v>45736.595243055555</v>
      </c>
      <c r="N163" s="3">
        <v>45736.595243055555</v>
      </c>
      <c r="O163" t="str">
        <f t="shared" si="20"/>
        <v>Mar</v>
      </c>
      <c r="P163" t="str">
        <f t="shared" si="21"/>
        <v>Thu</v>
      </c>
      <c r="Q163" t="str">
        <f t="shared" si="22"/>
        <v>Weekday</v>
      </c>
      <c r="R163">
        <f t="shared" si="23"/>
        <v>14</v>
      </c>
      <c r="S163" t="s">
        <v>528</v>
      </c>
    </row>
    <row r="164" spans="1:19" x14ac:dyDescent="0.25">
      <c r="A164">
        <v>9659</v>
      </c>
      <c r="B164" t="s">
        <v>229</v>
      </c>
      <c r="C164" t="s">
        <v>21</v>
      </c>
      <c r="D164" t="s">
        <v>22</v>
      </c>
      <c r="E164">
        <v>1</v>
      </c>
      <c r="F164" s="4">
        <v>19.13</v>
      </c>
      <c r="G164" s="4" t="str">
        <f t="shared" si="18"/>
        <v>Mid-Range</v>
      </c>
      <c r="H164" s="4">
        <f t="shared" si="24"/>
        <v>11.478</v>
      </c>
      <c r="I164">
        <f t="shared" si="19"/>
        <v>19.13</v>
      </c>
      <c r="J164" s="4">
        <f t="shared" si="25"/>
        <v>7.6519999999999992</v>
      </c>
      <c r="K164" s="8">
        <f t="shared" si="26"/>
        <v>0.39999999999999997</v>
      </c>
      <c r="L164" t="s">
        <v>19</v>
      </c>
      <c r="M164" s="2">
        <v>45736.615682870368</v>
      </c>
      <c r="N164" s="3">
        <v>45736.615682870368</v>
      </c>
      <c r="O164" t="str">
        <f t="shared" si="20"/>
        <v>Mar</v>
      </c>
      <c r="P164" t="str">
        <f t="shared" si="21"/>
        <v>Thu</v>
      </c>
      <c r="Q164" t="str">
        <f t="shared" si="22"/>
        <v>Weekday</v>
      </c>
      <c r="R164">
        <f t="shared" si="23"/>
        <v>14</v>
      </c>
      <c r="S164" t="s">
        <v>528</v>
      </c>
    </row>
    <row r="165" spans="1:19" x14ac:dyDescent="0.25">
      <c r="A165">
        <v>3293</v>
      </c>
      <c r="B165" t="s">
        <v>289</v>
      </c>
      <c r="C165" t="s">
        <v>30</v>
      </c>
      <c r="D165" t="s">
        <v>10</v>
      </c>
      <c r="E165">
        <v>5</v>
      </c>
      <c r="F165" s="4">
        <v>6.91</v>
      </c>
      <c r="G165" s="4" t="str">
        <f t="shared" si="18"/>
        <v>Budget</v>
      </c>
      <c r="H165" s="4">
        <f t="shared" si="24"/>
        <v>4.1459999999999999</v>
      </c>
      <c r="I165">
        <f t="shared" si="19"/>
        <v>34.549999999999997</v>
      </c>
      <c r="J165" s="4">
        <f t="shared" si="25"/>
        <v>30.403999999999996</v>
      </c>
      <c r="K165" s="8">
        <f t="shared" si="26"/>
        <v>0.88</v>
      </c>
      <c r="L165" t="s">
        <v>17</v>
      </c>
      <c r="M165" s="2">
        <v>45737.085219907407</v>
      </c>
      <c r="N165" s="3">
        <v>45737.085219907407</v>
      </c>
      <c r="O165" t="str">
        <f t="shared" si="20"/>
        <v>Mar</v>
      </c>
      <c r="P165" t="str">
        <f t="shared" si="21"/>
        <v>Fri</v>
      </c>
      <c r="Q165" t="str">
        <f t="shared" si="22"/>
        <v>Weekend</v>
      </c>
      <c r="R165">
        <f t="shared" si="23"/>
        <v>2</v>
      </c>
      <c r="S165" t="s">
        <v>527</v>
      </c>
    </row>
    <row r="166" spans="1:19" x14ac:dyDescent="0.25">
      <c r="A166">
        <v>4540</v>
      </c>
      <c r="B166" t="s">
        <v>191</v>
      </c>
      <c r="C166" t="s">
        <v>30</v>
      </c>
      <c r="D166" t="s">
        <v>10</v>
      </c>
      <c r="E166">
        <v>4</v>
      </c>
      <c r="F166" s="4">
        <v>21.64</v>
      </c>
      <c r="G166" s="4" t="str">
        <f t="shared" si="18"/>
        <v>Premium</v>
      </c>
      <c r="H166" s="4">
        <f t="shared" si="24"/>
        <v>12.984</v>
      </c>
      <c r="I166">
        <f t="shared" si="19"/>
        <v>86.56</v>
      </c>
      <c r="J166" s="4">
        <f t="shared" si="25"/>
        <v>73.576000000000008</v>
      </c>
      <c r="K166" s="8">
        <f t="shared" si="26"/>
        <v>0.85000000000000009</v>
      </c>
      <c r="L166" t="s">
        <v>15</v>
      </c>
      <c r="M166" s="2">
        <v>45737.726921296293</v>
      </c>
      <c r="N166" s="3">
        <v>45737.726921296293</v>
      </c>
      <c r="O166" t="str">
        <f t="shared" si="20"/>
        <v>Mar</v>
      </c>
      <c r="P166" t="str">
        <f t="shared" si="21"/>
        <v>Fri</v>
      </c>
      <c r="Q166" t="str">
        <f t="shared" si="22"/>
        <v>Weekend</v>
      </c>
      <c r="R166">
        <f t="shared" si="23"/>
        <v>17</v>
      </c>
      <c r="S166" t="s">
        <v>528</v>
      </c>
    </row>
    <row r="167" spans="1:19" x14ac:dyDescent="0.25">
      <c r="A167">
        <v>8280</v>
      </c>
      <c r="B167" t="s">
        <v>305</v>
      </c>
      <c r="C167" t="s">
        <v>37</v>
      </c>
      <c r="D167" t="s">
        <v>10</v>
      </c>
      <c r="E167">
        <v>2</v>
      </c>
      <c r="F167" s="4">
        <v>22.99</v>
      </c>
      <c r="G167" s="4" t="str">
        <f t="shared" si="18"/>
        <v>Premium</v>
      </c>
      <c r="H167" s="4">
        <f t="shared" si="24"/>
        <v>13.793999999999999</v>
      </c>
      <c r="I167">
        <f t="shared" si="19"/>
        <v>45.98</v>
      </c>
      <c r="J167" s="4">
        <f t="shared" si="25"/>
        <v>32.186</v>
      </c>
      <c r="K167" s="8">
        <f t="shared" si="26"/>
        <v>0.70000000000000007</v>
      </c>
      <c r="L167" t="s">
        <v>11</v>
      </c>
      <c r="M167" s="2">
        <v>45738.206400462965</v>
      </c>
      <c r="N167" s="3">
        <v>45738.206400462965</v>
      </c>
      <c r="O167" t="str">
        <f t="shared" si="20"/>
        <v>Mar</v>
      </c>
      <c r="P167" t="str">
        <f t="shared" si="21"/>
        <v>Sat</v>
      </c>
      <c r="Q167" t="str">
        <f t="shared" si="22"/>
        <v>Weekend</v>
      </c>
      <c r="R167">
        <f t="shared" si="23"/>
        <v>4</v>
      </c>
      <c r="S167" t="s">
        <v>527</v>
      </c>
    </row>
    <row r="168" spans="1:19" x14ac:dyDescent="0.25">
      <c r="A168">
        <v>6070</v>
      </c>
      <c r="B168" t="s">
        <v>436</v>
      </c>
      <c r="C168" t="s">
        <v>28</v>
      </c>
      <c r="D168" t="s">
        <v>14</v>
      </c>
      <c r="E168">
        <v>3</v>
      </c>
      <c r="F168" s="4">
        <v>14.89</v>
      </c>
      <c r="G168" s="4" t="str">
        <f t="shared" si="18"/>
        <v>Mid-Range</v>
      </c>
      <c r="H168" s="4">
        <f t="shared" si="24"/>
        <v>8.9339999999999993</v>
      </c>
      <c r="I168">
        <f t="shared" si="19"/>
        <v>44.67</v>
      </c>
      <c r="J168" s="4">
        <f t="shared" si="25"/>
        <v>35.736000000000004</v>
      </c>
      <c r="K168" s="8">
        <f t="shared" si="26"/>
        <v>0.8</v>
      </c>
      <c r="L168" t="s">
        <v>19</v>
      </c>
      <c r="M168" s="2">
        <v>45738.295787037037</v>
      </c>
      <c r="N168" s="3">
        <v>45738.295787037037</v>
      </c>
      <c r="O168" t="str">
        <f t="shared" si="20"/>
        <v>Mar</v>
      </c>
      <c r="P168" t="str">
        <f t="shared" si="21"/>
        <v>Sat</v>
      </c>
      <c r="Q168" t="str">
        <f t="shared" si="22"/>
        <v>Weekend</v>
      </c>
      <c r="R168">
        <f t="shared" si="23"/>
        <v>7</v>
      </c>
      <c r="S168" t="s">
        <v>527</v>
      </c>
    </row>
    <row r="169" spans="1:19" x14ac:dyDescent="0.25">
      <c r="A169">
        <v>7426</v>
      </c>
      <c r="B169" t="s">
        <v>337</v>
      </c>
      <c r="C169" t="s">
        <v>21</v>
      </c>
      <c r="D169" t="s">
        <v>22</v>
      </c>
      <c r="E169">
        <v>3</v>
      </c>
      <c r="F169" s="4">
        <v>19.13</v>
      </c>
      <c r="G169" s="4" t="str">
        <f t="shared" si="18"/>
        <v>Mid-Range</v>
      </c>
      <c r="H169" s="4">
        <f t="shared" si="24"/>
        <v>11.478</v>
      </c>
      <c r="I169">
        <f t="shared" si="19"/>
        <v>57.39</v>
      </c>
      <c r="J169" s="4">
        <f t="shared" si="25"/>
        <v>45.911999999999999</v>
      </c>
      <c r="K169" s="8">
        <f t="shared" si="26"/>
        <v>0.79999999999999993</v>
      </c>
      <c r="L169" t="s">
        <v>15</v>
      </c>
      <c r="M169" s="2">
        <v>45738.599108796298</v>
      </c>
      <c r="N169" s="3">
        <v>45738.599108796298</v>
      </c>
      <c r="O169" t="str">
        <f t="shared" si="20"/>
        <v>Mar</v>
      </c>
      <c r="P169" t="str">
        <f t="shared" si="21"/>
        <v>Sat</v>
      </c>
      <c r="Q169" t="str">
        <f t="shared" si="22"/>
        <v>Weekend</v>
      </c>
      <c r="R169">
        <f t="shared" si="23"/>
        <v>14</v>
      </c>
      <c r="S169" t="s">
        <v>528</v>
      </c>
    </row>
    <row r="170" spans="1:19" x14ac:dyDescent="0.25">
      <c r="A170">
        <v>1239</v>
      </c>
      <c r="B170" t="s">
        <v>261</v>
      </c>
      <c r="C170" t="s">
        <v>35</v>
      </c>
      <c r="D170" t="s">
        <v>22</v>
      </c>
      <c r="E170">
        <v>3</v>
      </c>
      <c r="F170" s="4">
        <v>17.61</v>
      </c>
      <c r="G170" s="4" t="str">
        <f t="shared" si="18"/>
        <v>Mid-Range</v>
      </c>
      <c r="H170" s="4">
        <f t="shared" si="24"/>
        <v>10.565999999999999</v>
      </c>
      <c r="I170">
        <f t="shared" si="19"/>
        <v>52.83</v>
      </c>
      <c r="J170" s="4">
        <f t="shared" si="25"/>
        <v>42.263999999999996</v>
      </c>
      <c r="K170" s="8">
        <f t="shared" si="26"/>
        <v>0.79999999999999993</v>
      </c>
      <c r="L170" t="s">
        <v>11</v>
      </c>
      <c r="M170" s="2">
        <v>45739.035821759258</v>
      </c>
      <c r="N170" s="3">
        <v>45739.035821759258</v>
      </c>
      <c r="O170" t="str">
        <f t="shared" si="20"/>
        <v>Mar</v>
      </c>
      <c r="P170" t="str">
        <f t="shared" si="21"/>
        <v>Sun</v>
      </c>
      <c r="Q170" t="str">
        <f t="shared" si="22"/>
        <v>Weekday</v>
      </c>
      <c r="R170">
        <f t="shared" si="23"/>
        <v>0</v>
      </c>
      <c r="S170" t="s">
        <v>527</v>
      </c>
    </row>
    <row r="171" spans="1:19" x14ac:dyDescent="0.25">
      <c r="A171">
        <v>8968</v>
      </c>
      <c r="B171" t="s">
        <v>359</v>
      </c>
      <c r="C171" t="s">
        <v>37</v>
      </c>
      <c r="D171" t="s">
        <v>10</v>
      </c>
      <c r="E171">
        <v>1</v>
      </c>
      <c r="F171" s="4">
        <v>16.309999999999999</v>
      </c>
      <c r="G171" s="4" t="str">
        <f t="shared" si="18"/>
        <v>Mid-Range</v>
      </c>
      <c r="H171" s="4">
        <f t="shared" si="24"/>
        <v>9.7859999999999996</v>
      </c>
      <c r="I171">
        <f t="shared" si="19"/>
        <v>16.309999999999999</v>
      </c>
      <c r="J171" s="4">
        <f t="shared" si="25"/>
        <v>6.5239999999999991</v>
      </c>
      <c r="K171" s="8">
        <f t="shared" si="26"/>
        <v>0.39999999999999997</v>
      </c>
      <c r="L171" t="s">
        <v>19</v>
      </c>
      <c r="M171" s="2">
        <v>45739.636516203704</v>
      </c>
      <c r="N171" s="3">
        <v>45739.636516203704</v>
      </c>
      <c r="O171" t="str">
        <f t="shared" si="20"/>
        <v>Mar</v>
      </c>
      <c r="P171" t="str">
        <f t="shared" si="21"/>
        <v>Sun</v>
      </c>
      <c r="Q171" t="str">
        <f t="shared" si="22"/>
        <v>Weekday</v>
      </c>
      <c r="R171">
        <f t="shared" si="23"/>
        <v>15</v>
      </c>
      <c r="S171" t="s">
        <v>528</v>
      </c>
    </row>
    <row r="172" spans="1:19" x14ac:dyDescent="0.25">
      <c r="A172">
        <v>5954</v>
      </c>
      <c r="B172" t="s">
        <v>128</v>
      </c>
      <c r="C172" t="s">
        <v>9</v>
      </c>
      <c r="D172" t="s">
        <v>10</v>
      </c>
      <c r="E172">
        <v>3</v>
      </c>
      <c r="F172" s="4">
        <v>6.4</v>
      </c>
      <c r="G172" s="4" t="str">
        <f t="shared" si="18"/>
        <v>Budget</v>
      </c>
      <c r="H172" s="4">
        <f t="shared" si="24"/>
        <v>3.84</v>
      </c>
      <c r="I172">
        <f t="shared" si="19"/>
        <v>19.200000000000003</v>
      </c>
      <c r="J172" s="4">
        <f t="shared" si="25"/>
        <v>15.360000000000003</v>
      </c>
      <c r="K172" s="8">
        <f t="shared" si="26"/>
        <v>0.8</v>
      </c>
      <c r="L172" t="s">
        <v>15</v>
      </c>
      <c r="M172" s="2">
        <v>45739.697453703702</v>
      </c>
      <c r="N172" s="3">
        <v>45739.697453703702</v>
      </c>
      <c r="O172" t="str">
        <f t="shared" si="20"/>
        <v>Mar</v>
      </c>
      <c r="P172" t="str">
        <f t="shared" si="21"/>
        <v>Sun</v>
      </c>
      <c r="Q172" t="str">
        <f t="shared" si="22"/>
        <v>Weekday</v>
      </c>
      <c r="R172">
        <f t="shared" si="23"/>
        <v>16</v>
      </c>
      <c r="S172" t="s">
        <v>528</v>
      </c>
    </row>
    <row r="173" spans="1:19" x14ac:dyDescent="0.25">
      <c r="A173">
        <v>9513</v>
      </c>
      <c r="B173" t="s">
        <v>399</v>
      </c>
      <c r="C173" t="s">
        <v>13</v>
      </c>
      <c r="D173" t="s">
        <v>14</v>
      </c>
      <c r="E173">
        <v>2</v>
      </c>
      <c r="F173" s="4">
        <v>9.81</v>
      </c>
      <c r="G173" s="4" t="str">
        <f t="shared" si="18"/>
        <v>Budget</v>
      </c>
      <c r="H173" s="4">
        <f t="shared" si="24"/>
        <v>5.8860000000000001</v>
      </c>
      <c r="I173">
        <f t="shared" si="19"/>
        <v>19.62</v>
      </c>
      <c r="J173" s="4">
        <f t="shared" si="25"/>
        <v>13.734000000000002</v>
      </c>
      <c r="K173" s="8">
        <f t="shared" si="26"/>
        <v>0.70000000000000007</v>
      </c>
      <c r="L173" t="s">
        <v>15</v>
      </c>
      <c r="M173" s="2">
        <v>45739.776956018519</v>
      </c>
      <c r="N173" s="3">
        <v>45739.776956018519</v>
      </c>
      <c r="O173" t="str">
        <f t="shared" si="20"/>
        <v>Mar</v>
      </c>
      <c r="P173" t="str">
        <f t="shared" si="21"/>
        <v>Sun</v>
      </c>
      <c r="Q173" t="str">
        <f t="shared" si="22"/>
        <v>Weekday</v>
      </c>
      <c r="R173">
        <f t="shared" si="23"/>
        <v>18</v>
      </c>
      <c r="S173" t="s">
        <v>529</v>
      </c>
    </row>
    <row r="174" spans="1:19" x14ac:dyDescent="0.25">
      <c r="A174">
        <v>1084</v>
      </c>
      <c r="B174" t="s">
        <v>423</v>
      </c>
      <c r="C174" t="s">
        <v>37</v>
      </c>
      <c r="D174" t="s">
        <v>10</v>
      </c>
      <c r="E174">
        <v>4</v>
      </c>
      <c r="F174" s="4">
        <v>22.41</v>
      </c>
      <c r="G174" s="4" t="str">
        <f t="shared" si="18"/>
        <v>Premium</v>
      </c>
      <c r="H174" s="4">
        <f t="shared" si="24"/>
        <v>13.446</v>
      </c>
      <c r="I174">
        <f t="shared" si="19"/>
        <v>89.64</v>
      </c>
      <c r="J174" s="4">
        <f t="shared" si="25"/>
        <v>76.194000000000003</v>
      </c>
      <c r="K174" s="8">
        <f t="shared" si="26"/>
        <v>0.85</v>
      </c>
      <c r="L174" t="s">
        <v>19</v>
      </c>
      <c r="M174" s="2">
        <v>45740.075138888889</v>
      </c>
      <c r="N174" s="3">
        <v>45740.075138888889</v>
      </c>
      <c r="O174" t="str">
        <f t="shared" si="20"/>
        <v>Mar</v>
      </c>
      <c r="P174" t="str">
        <f t="shared" si="21"/>
        <v>Mon</v>
      </c>
      <c r="Q174" t="str">
        <f t="shared" si="22"/>
        <v>Weekday</v>
      </c>
      <c r="R174">
        <f t="shared" si="23"/>
        <v>1</v>
      </c>
      <c r="S174" t="s">
        <v>527</v>
      </c>
    </row>
    <row r="175" spans="1:19" x14ac:dyDescent="0.25">
      <c r="A175">
        <v>9859</v>
      </c>
      <c r="B175" t="s">
        <v>71</v>
      </c>
      <c r="C175" t="s">
        <v>33</v>
      </c>
      <c r="D175" t="s">
        <v>14</v>
      </c>
      <c r="E175">
        <v>5</v>
      </c>
      <c r="F175" s="4">
        <v>10.01</v>
      </c>
      <c r="G175" s="4" t="str">
        <f t="shared" si="18"/>
        <v>Mid-Range</v>
      </c>
      <c r="H175" s="4">
        <f t="shared" si="24"/>
        <v>6.0059999999999993</v>
      </c>
      <c r="I175">
        <f t="shared" si="19"/>
        <v>50.05</v>
      </c>
      <c r="J175" s="4">
        <f t="shared" si="25"/>
        <v>44.043999999999997</v>
      </c>
      <c r="K175" s="8">
        <f t="shared" si="26"/>
        <v>0.88</v>
      </c>
      <c r="L175" t="s">
        <v>17</v>
      </c>
      <c r="M175" s="2">
        <v>45740.579953703702</v>
      </c>
      <c r="N175" s="3">
        <v>45740.579953703702</v>
      </c>
      <c r="O175" t="str">
        <f t="shared" si="20"/>
        <v>Mar</v>
      </c>
      <c r="P175" t="str">
        <f t="shared" si="21"/>
        <v>Mon</v>
      </c>
      <c r="Q175" t="str">
        <f t="shared" si="22"/>
        <v>Weekday</v>
      </c>
      <c r="R175">
        <f t="shared" si="23"/>
        <v>13</v>
      </c>
      <c r="S175" t="s">
        <v>528</v>
      </c>
    </row>
    <row r="176" spans="1:19" x14ac:dyDescent="0.25">
      <c r="A176">
        <v>9927</v>
      </c>
      <c r="B176" t="s">
        <v>475</v>
      </c>
      <c r="C176" t="s">
        <v>9</v>
      </c>
      <c r="D176" t="s">
        <v>10</v>
      </c>
      <c r="E176">
        <v>2</v>
      </c>
      <c r="F176" s="4">
        <v>17.57</v>
      </c>
      <c r="G176" s="4" t="str">
        <f t="shared" si="18"/>
        <v>Mid-Range</v>
      </c>
      <c r="H176" s="4">
        <f t="shared" si="24"/>
        <v>10.542</v>
      </c>
      <c r="I176">
        <f t="shared" si="19"/>
        <v>35.14</v>
      </c>
      <c r="J176" s="4">
        <f t="shared" si="25"/>
        <v>24.597999999999999</v>
      </c>
      <c r="K176" s="8">
        <f t="shared" si="26"/>
        <v>0.7</v>
      </c>
      <c r="L176" t="s">
        <v>15</v>
      </c>
      <c r="M176" s="2">
        <v>45740.871689814812</v>
      </c>
      <c r="N176" s="3">
        <v>45740.871689814812</v>
      </c>
      <c r="O176" t="str">
        <f t="shared" si="20"/>
        <v>Mar</v>
      </c>
      <c r="P176" t="str">
        <f t="shared" si="21"/>
        <v>Mon</v>
      </c>
      <c r="Q176" t="str">
        <f t="shared" si="22"/>
        <v>Weekday</v>
      </c>
      <c r="R176">
        <f t="shared" si="23"/>
        <v>20</v>
      </c>
      <c r="S176" t="s">
        <v>529</v>
      </c>
    </row>
    <row r="177" spans="1:19" x14ac:dyDescent="0.25">
      <c r="A177">
        <v>7972</v>
      </c>
      <c r="B177" t="s">
        <v>112</v>
      </c>
      <c r="C177" t="s">
        <v>28</v>
      </c>
      <c r="D177" t="s">
        <v>14</v>
      </c>
      <c r="E177">
        <v>1</v>
      </c>
      <c r="F177" s="4">
        <v>17.86</v>
      </c>
      <c r="G177" s="4" t="str">
        <f t="shared" si="18"/>
        <v>Mid-Range</v>
      </c>
      <c r="H177" s="4">
        <f t="shared" si="24"/>
        <v>10.715999999999999</v>
      </c>
      <c r="I177">
        <f t="shared" si="19"/>
        <v>17.86</v>
      </c>
      <c r="J177" s="4">
        <f t="shared" si="25"/>
        <v>7.1440000000000001</v>
      </c>
      <c r="K177" s="8">
        <f t="shared" si="26"/>
        <v>0.4</v>
      </c>
      <c r="L177" t="s">
        <v>11</v>
      </c>
      <c r="M177" s="2">
        <v>45741.220509259256</v>
      </c>
      <c r="N177" s="3">
        <v>45741.220509259256</v>
      </c>
      <c r="O177" t="str">
        <f t="shared" si="20"/>
        <v>Mar</v>
      </c>
      <c r="P177" t="str">
        <f t="shared" si="21"/>
        <v>Tue</v>
      </c>
      <c r="Q177" t="str">
        <f t="shared" si="22"/>
        <v>Weekday</v>
      </c>
      <c r="R177">
        <f t="shared" si="23"/>
        <v>5</v>
      </c>
      <c r="S177" t="s">
        <v>527</v>
      </c>
    </row>
    <row r="178" spans="1:19" x14ac:dyDescent="0.25">
      <c r="A178">
        <v>6257</v>
      </c>
      <c r="B178" t="s">
        <v>85</v>
      </c>
      <c r="C178" t="s">
        <v>40</v>
      </c>
      <c r="D178" t="s">
        <v>22</v>
      </c>
      <c r="E178">
        <v>5</v>
      </c>
      <c r="F178" s="4">
        <v>14.18</v>
      </c>
      <c r="G178" s="4" t="str">
        <f t="shared" si="18"/>
        <v>Mid-Range</v>
      </c>
      <c r="H178" s="4">
        <f t="shared" si="24"/>
        <v>8.5079999999999991</v>
      </c>
      <c r="I178">
        <f t="shared" si="19"/>
        <v>70.900000000000006</v>
      </c>
      <c r="J178" s="4">
        <f t="shared" si="25"/>
        <v>62.39200000000001</v>
      </c>
      <c r="K178" s="8">
        <f t="shared" si="26"/>
        <v>0.88000000000000012</v>
      </c>
      <c r="L178" t="s">
        <v>17</v>
      </c>
      <c r="M178" s="2">
        <v>45741.354479166665</v>
      </c>
      <c r="N178" s="3">
        <v>45741.354479166665</v>
      </c>
      <c r="O178" t="str">
        <f t="shared" si="20"/>
        <v>Mar</v>
      </c>
      <c r="P178" t="str">
        <f t="shared" si="21"/>
        <v>Tue</v>
      </c>
      <c r="Q178" t="str">
        <f t="shared" si="22"/>
        <v>Weekday</v>
      </c>
      <c r="R178">
        <f t="shared" si="23"/>
        <v>8</v>
      </c>
      <c r="S178" t="s">
        <v>527</v>
      </c>
    </row>
    <row r="179" spans="1:19" x14ac:dyDescent="0.25">
      <c r="A179">
        <v>4115</v>
      </c>
      <c r="B179" t="s">
        <v>269</v>
      </c>
      <c r="C179" t="s">
        <v>35</v>
      </c>
      <c r="D179" t="s">
        <v>22</v>
      </c>
      <c r="E179">
        <v>1</v>
      </c>
      <c r="F179" s="4">
        <v>8.92</v>
      </c>
      <c r="G179" s="4" t="str">
        <f t="shared" si="18"/>
        <v>Budget</v>
      </c>
      <c r="H179" s="4">
        <f t="shared" si="24"/>
        <v>5.3519999999999994</v>
      </c>
      <c r="I179">
        <f t="shared" si="19"/>
        <v>8.92</v>
      </c>
      <c r="J179" s="4">
        <f t="shared" si="25"/>
        <v>3.5680000000000005</v>
      </c>
      <c r="K179" s="8">
        <f t="shared" si="26"/>
        <v>0.40000000000000008</v>
      </c>
      <c r="L179" t="s">
        <v>11</v>
      </c>
      <c r="M179" s="2">
        <v>45742.331666666665</v>
      </c>
      <c r="N179" s="3">
        <v>45742.331666666665</v>
      </c>
      <c r="O179" t="str">
        <f t="shared" si="20"/>
        <v>Mar</v>
      </c>
      <c r="P179" t="str">
        <f t="shared" si="21"/>
        <v>Wed</v>
      </c>
      <c r="Q179" t="str">
        <f t="shared" si="22"/>
        <v>Weekday</v>
      </c>
      <c r="R179">
        <f t="shared" si="23"/>
        <v>7</v>
      </c>
      <c r="S179" t="s">
        <v>527</v>
      </c>
    </row>
    <row r="180" spans="1:19" x14ac:dyDescent="0.25">
      <c r="A180">
        <v>4081</v>
      </c>
      <c r="B180" t="s">
        <v>61</v>
      </c>
      <c r="C180" t="s">
        <v>28</v>
      </c>
      <c r="D180" t="s">
        <v>14</v>
      </c>
      <c r="E180">
        <v>5</v>
      </c>
      <c r="F180" s="4">
        <v>17.18</v>
      </c>
      <c r="G180" s="4" t="str">
        <f t="shared" si="18"/>
        <v>Mid-Range</v>
      </c>
      <c r="H180" s="4">
        <f t="shared" si="24"/>
        <v>10.308</v>
      </c>
      <c r="I180">
        <f t="shared" si="19"/>
        <v>85.9</v>
      </c>
      <c r="J180" s="4">
        <f t="shared" si="25"/>
        <v>75.592000000000013</v>
      </c>
      <c r="K180" s="8">
        <f t="shared" si="26"/>
        <v>0.88000000000000012</v>
      </c>
      <c r="L180" t="s">
        <v>19</v>
      </c>
      <c r="M180" s="2">
        <v>45742.373379629629</v>
      </c>
      <c r="N180" s="3">
        <v>45742.373379629629</v>
      </c>
      <c r="O180" t="str">
        <f t="shared" si="20"/>
        <v>Mar</v>
      </c>
      <c r="P180" t="str">
        <f t="shared" si="21"/>
        <v>Wed</v>
      </c>
      <c r="Q180" t="str">
        <f t="shared" si="22"/>
        <v>Weekday</v>
      </c>
      <c r="R180">
        <f t="shared" si="23"/>
        <v>8</v>
      </c>
      <c r="S180" t="s">
        <v>527</v>
      </c>
    </row>
    <row r="181" spans="1:19" x14ac:dyDescent="0.25">
      <c r="A181">
        <v>6030</v>
      </c>
      <c r="B181" t="s">
        <v>275</v>
      </c>
      <c r="C181" t="s">
        <v>40</v>
      </c>
      <c r="D181" t="s">
        <v>22</v>
      </c>
      <c r="E181">
        <v>1</v>
      </c>
      <c r="F181" s="4">
        <v>20.329999999999998</v>
      </c>
      <c r="G181" s="4" t="str">
        <f t="shared" si="18"/>
        <v>Premium</v>
      </c>
      <c r="H181" s="4">
        <f t="shared" si="24"/>
        <v>12.197999999999999</v>
      </c>
      <c r="I181">
        <f t="shared" si="19"/>
        <v>20.329999999999998</v>
      </c>
      <c r="J181" s="4">
        <f t="shared" si="25"/>
        <v>8.1319999999999997</v>
      </c>
      <c r="K181" s="8">
        <f t="shared" si="26"/>
        <v>0.4</v>
      </c>
      <c r="L181" t="s">
        <v>11</v>
      </c>
      <c r="M181" s="2">
        <v>45742.393900462965</v>
      </c>
      <c r="N181" s="3">
        <v>45742.393900462965</v>
      </c>
      <c r="O181" t="str">
        <f t="shared" si="20"/>
        <v>Mar</v>
      </c>
      <c r="P181" t="str">
        <f t="shared" si="21"/>
        <v>Wed</v>
      </c>
      <c r="Q181" t="str">
        <f t="shared" si="22"/>
        <v>Weekday</v>
      </c>
      <c r="R181">
        <f t="shared" si="23"/>
        <v>9</v>
      </c>
      <c r="S181" t="s">
        <v>527</v>
      </c>
    </row>
    <row r="182" spans="1:19" x14ac:dyDescent="0.25">
      <c r="A182">
        <v>4403</v>
      </c>
      <c r="B182" t="s">
        <v>492</v>
      </c>
      <c r="C182" t="s">
        <v>21</v>
      </c>
      <c r="D182" t="s">
        <v>22</v>
      </c>
      <c r="E182">
        <v>2</v>
      </c>
      <c r="F182" s="4">
        <v>24.01</v>
      </c>
      <c r="G182" s="4" t="str">
        <f t="shared" si="18"/>
        <v>Premium</v>
      </c>
      <c r="H182" s="4">
        <f t="shared" si="24"/>
        <v>14.406000000000001</v>
      </c>
      <c r="I182">
        <f t="shared" si="19"/>
        <v>48.02</v>
      </c>
      <c r="J182" s="4">
        <f t="shared" si="25"/>
        <v>33.614000000000004</v>
      </c>
      <c r="K182" s="8">
        <f t="shared" si="26"/>
        <v>0.70000000000000007</v>
      </c>
      <c r="L182" t="s">
        <v>11</v>
      </c>
      <c r="M182" s="2">
        <v>45743.350254629629</v>
      </c>
      <c r="N182" s="3">
        <v>45743.350254629629</v>
      </c>
      <c r="O182" t="str">
        <f t="shared" si="20"/>
        <v>Mar</v>
      </c>
      <c r="P182" t="str">
        <f t="shared" si="21"/>
        <v>Thu</v>
      </c>
      <c r="Q182" t="str">
        <f t="shared" si="22"/>
        <v>Weekday</v>
      </c>
      <c r="R182">
        <f t="shared" si="23"/>
        <v>8</v>
      </c>
      <c r="S182" t="s">
        <v>527</v>
      </c>
    </row>
    <row r="183" spans="1:19" x14ac:dyDescent="0.25">
      <c r="A183">
        <v>6863</v>
      </c>
      <c r="B183" t="s">
        <v>356</v>
      </c>
      <c r="C183" t="s">
        <v>35</v>
      </c>
      <c r="D183" t="s">
        <v>22</v>
      </c>
      <c r="E183">
        <v>1</v>
      </c>
      <c r="F183" s="4">
        <v>16.38</v>
      </c>
      <c r="G183" s="4" t="str">
        <f t="shared" si="18"/>
        <v>Mid-Range</v>
      </c>
      <c r="H183" s="4">
        <f t="shared" si="24"/>
        <v>9.8279999999999994</v>
      </c>
      <c r="I183">
        <f t="shared" si="19"/>
        <v>16.38</v>
      </c>
      <c r="J183" s="4">
        <f t="shared" si="25"/>
        <v>6.5519999999999996</v>
      </c>
      <c r="K183" s="8">
        <f t="shared" si="26"/>
        <v>0.4</v>
      </c>
      <c r="L183" t="s">
        <v>15</v>
      </c>
      <c r="M183" s="2">
        <v>45743.511666666665</v>
      </c>
      <c r="N183" s="3">
        <v>45743.511666666665</v>
      </c>
      <c r="O183" t="str">
        <f t="shared" si="20"/>
        <v>Mar</v>
      </c>
      <c r="P183" t="str">
        <f t="shared" si="21"/>
        <v>Thu</v>
      </c>
      <c r="Q183" t="str">
        <f t="shared" si="22"/>
        <v>Weekday</v>
      </c>
      <c r="R183">
        <f t="shared" si="23"/>
        <v>12</v>
      </c>
      <c r="S183" t="s">
        <v>528</v>
      </c>
    </row>
    <row r="184" spans="1:19" x14ac:dyDescent="0.25">
      <c r="A184">
        <v>3744</v>
      </c>
      <c r="B184" t="s">
        <v>216</v>
      </c>
      <c r="C184" t="s">
        <v>37</v>
      </c>
      <c r="D184" t="s">
        <v>10</v>
      </c>
      <c r="E184">
        <v>3</v>
      </c>
      <c r="F184" s="4">
        <v>7.77</v>
      </c>
      <c r="G184" s="4" t="str">
        <f t="shared" si="18"/>
        <v>Budget</v>
      </c>
      <c r="H184" s="4">
        <f t="shared" si="24"/>
        <v>4.6619999999999999</v>
      </c>
      <c r="I184">
        <f t="shared" si="19"/>
        <v>23.31</v>
      </c>
      <c r="J184" s="4">
        <f t="shared" si="25"/>
        <v>18.648</v>
      </c>
      <c r="K184" s="8">
        <f t="shared" si="26"/>
        <v>0.8</v>
      </c>
      <c r="L184" t="s">
        <v>15</v>
      </c>
      <c r="M184" s="2">
        <v>45744.014351851853</v>
      </c>
      <c r="N184" s="3">
        <v>45744.014351851853</v>
      </c>
      <c r="O184" t="str">
        <f t="shared" si="20"/>
        <v>Mar</v>
      </c>
      <c r="P184" t="str">
        <f t="shared" si="21"/>
        <v>Fri</v>
      </c>
      <c r="Q184" t="str">
        <f t="shared" si="22"/>
        <v>Weekend</v>
      </c>
      <c r="R184">
        <f t="shared" si="23"/>
        <v>0</v>
      </c>
      <c r="S184" t="s">
        <v>527</v>
      </c>
    </row>
    <row r="185" spans="1:19" x14ac:dyDescent="0.25">
      <c r="A185">
        <v>5095</v>
      </c>
      <c r="B185" t="s">
        <v>281</v>
      </c>
      <c r="C185" t="s">
        <v>28</v>
      </c>
      <c r="D185" t="s">
        <v>14</v>
      </c>
      <c r="E185">
        <v>3</v>
      </c>
      <c r="F185" s="4">
        <v>18.920000000000002</v>
      </c>
      <c r="G185" s="4" t="str">
        <f t="shared" si="18"/>
        <v>Mid-Range</v>
      </c>
      <c r="H185" s="4">
        <f t="shared" si="24"/>
        <v>11.352</v>
      </c>
      <c r="I185">
        <f t="shared" si="19"/>
        <v>56.760000000000005</v>
      </c>
      <c r="J185" s="4">
        <f t="shared" si="25"/>
        <v>45.408000000000001</v>
      </c>
      <c r="K185" s="8">
        <f t="shared" si="26"/>
        <v>0.79999999999999993</v>
      </c>
      <c r="L185" t="s">
        <v>17</v>
      </c>
      <c r="M185" s="2">
        <v>45744.729155092595</v>
      </c>
      <c r="N185" s="3">
        <v>45744.729155092595</v>
      </c>
      <c r="O185" t="str">
        <f t="shared" si="20"/>
        <v>Mar</v>
      </c>
      <c r="P185" t="str">
        <f t="shared" si="21"/>
        <v>Fri</v>
      </c>
      <c r="Q185" t="str">
        <f t="shared" si="22"/>
        <v>Weekend</v>
      </c>
      <c r="R185">
        <f t="shared" si="23"/>
        <v>17</v>
      </c>
      <c r="S185" t="s">
        <v>528</v>
      </c>
    </row>
    <row r="186" spans="1:19" x14ac:dyDescent="0.25">
      <c r="A186">
        <v>7117</v>
      </c>
      <c r="B186" t="s">
        <v>198</v>
      </c>
      <c r="C186" t="s">
        <v>28</v>
      </c>
      <c r="D186" t="s">
        <v>14</v>
      </c>
      <c r="E186">
        <v>1</v>
      </c>
      <c r="F186" s="4">
        <v>3.02</v>
      </c>
      <c r="G186" s="4" t="str">
        <f t="shared" si="18"/>
        <v>Budget</v>
      </c>
      <c r="H186" s="4">
        <f t="shared" si="24"/>
        <v>1.8119999999999998</v>
      </c>
      <c r="I186">
        <f t="shared" si="19"/>
        <v>3.02</v>
      </c>
      <c r="J186" s="4">
        <f t="shared" si="25"/>
        <v>1.2080000000000002</v>
      </c>
      <c r="K186" s="8">
        <f t="shared" si="26"/>
        <v>0.40000000000000008</v>
      </c>
      <c r="L186" t="s">
        <v>17</v>
      </c>
      <c r="M186" s="2">
        <v>45745.119513888887</v>
      </c>
      <c r="N186" s="3">
        <v>45745.119513888887</v>
      </c>
      <c r="O186" t="str">
        <f t="shared" si="20"/>
        <v>Mar</v>
      </c>
      <c r="P186" t="str">
        <f t="shared" si="21"/>
        <v>Sat</v>
      </c>
      <c r="Q186" t="str">
        <f t="shared" si="22"/>
        <v>Weekend</v>
      </c>
      <c r="R186">
        <f t="shared" si="23"/>
        <v>2</v>
      </c>
      <c r="S186" t="s">
        <v>527</v>
      </c>
    </row>
    <row r="187" spans="1:19" x14ac:dyDescent="0.25">
      <c r="A187">
        <v>1770</v>
      </c>
      <c r="B187" t="s">
        <v>144</v>
      </c>
      <c r="C187" t="s">
        <v>13</v>
      </c>
      <c r="D187" t="s">
        <v>14</v>
      </c>
      <c r="E187">
        <v>1</v>
      </c>
      <c r="F187" s="4">
        <v>20.5</v>
      </c>
      <c r="G187" s="4" t="str">
        <f t="shared" si="18"/>
        <v>Premium</v>
      </c>
      <c r="H187" s="4">
        <f t="shared" si="24"/>
        <v>12.299999999999999</v>
      </c>
      <c r="I187">
        <f t="shared" si="19"/>
        <v>20.5</v>
      </c>
      <c r="J187" s="4">
        <f t="shared" si="25"/>
        <v>8.2000000000000011</v>
      </c>
      <c r="K187" s="8">
        <f t="shared" si="26"/>
        <v>0.40000000000000008</v>
      </c>
      <c r="L187" t="s">
        <v>19</v>
      </c>
      <c r="M187" s="2">
        <v>45745.223993055559</v>
      </c>
      <c r="N187" s="3">
        <v>45745.223993055559</v>
      </c>
      <c r="O187" t="str">
        <f t="shared" si="20"/>
        <v>Mar</v>
      </c>
      <c r="P187" t="str">
        <f t="shared" si="21"/>
        <v>Sat</v>
      </c>
      <c r="Q187" t="str">
        <f t="shared" si="22"/>
        <v>Weekend</v>
      </c>
      <c r="R187">
        <f t="shared" si="23"/>
        <v>5</v>
      </c>
      <c r="S187" t="s">
        <v>527</v>
      </c>
    </row>
    <row r="188" spans="1:19" x14ac:dyDescent="0.25">
      <c r="A188">
        <v>5520</v>
      </c>
      <c r="B188" t="s">
        <v>419</v>
      </c>
      <c r="C188" t="s">
        <v>9</v>
      </c>
      <c r="D188" t="s">
        <v>10</v>
      </c>
      <c r="E188">
        <v>2</v>
      </c>
      <c r="F188" s="4">
        <v>7.19</v>
      </c>
      <c r="G188" s="4" t="str">
        <f t="shared" si="18"/>
        <v>Budget</v>
      </c>
      <c r="H188" s="4">
        <f t="shared" si="24"/>
        <v>4.3140000000000001</v>
      </c>
      <c r="I188">
        <f t="shared" si="19"/>
        <v>14.38</v>
      </c>
      <c r="J188" s="4">
        <f t="shared" si="25"/>
        <v>10.066000000000001</v>
      </c>
      <c r="K188" s="8">
        <f t="shared" si="26"/>
        <v>0.70000000000000007</v>
      </c>
      <c r="L188" t="s">
        <v>17</v>
      </c>
      <c r="M188" s="2">
        <v>45745.556168981479</v>
      </c>
      <c r="N188" s="3">
        <v>45745.556168981479</v>
      </c>
      <c r="O188" t="str">
        <f t="shared" si="20"/>
        <v>Mar</v>
      </c>
      <c r="P188" t="str">
        <f t="shared" si="21"/>
        <v>Sat</v>
      </c>
      <c r="Q188" t="str">
        <f t="shared" si="22"/>
        <v>Weekend</v>
      </c>
      <c r="R188">
        <f t="shared" si="23"/>
        <v>13</v>
      </c>
      <c r="S188" t="s">
        <v>528</v>
      </c>
    </row>
    <row r="189" spans="1:19" x14ac:dyDescent="0.25">
      <c r="A189">
        <v>2859</v>
      </c>
      <c r="B189" t="s">
        <v>458</v>
      </c>
      <c r="C189" t="s">
        <v>21</v>
      </c>
      <c r="D189" t="s">
        <v>22</v>
      </c>
      <c r="E189">
        <v>5</v>
      </c>
      <c r="F189" s="4">
        <v>23.02</v>
      </c>
      <c r="G189" s="4" t="str">
        <f t="shared" si="18"/>
        <v>Premium</v>
      </c>
      <c r="H189" s="4">
        <f t="shared" si="24"/>
        <v>13.811999999999999</v>
      </c>
      <c r="I189">
        <f t="shared" si="19"/>
        <v>115.1</v>
      </c>
      <c r="J189" s="4">
        <f t="shared" si="25"/>
        <v>101.288</v>
      </c>
      <c r="K189" s="8">
        <f t="shared" si="26"/>
        <v>0.88</v>
      </c>
      <c r="L189" t="s">
        <v>11</v>
      </c>
      <c r="M189" s="2">
        <v>45745.563599537039</v>
      </c>
      <c r="N189" s="3">
        <v>45745.563599537039</v>
      </c>
      <c r="O189" t="str">
        <f t="shared" si="20"/>
        <v>Mar</v>
      </c>
      <c r="P189" t="str">
        <f t="shared" si="21"/>
        <v>Sat</v>
      </c>
      <c r="Q189" t="str">
        <f t="shared" si="22"/>
        <v>Weekend</v>
      </c>
      <c r="R189">
        <f t="shared" si="23"/>
        <v>13</v>
      </c>
      <c r="S189" t="s">
        <v>528</v>
      </c>
    </row>
    <row r="190" spans="1:19" x14ac:dyDescent="0.25">
      <c r="A190">
        <v>6590</v>
      </c>
      <c r="B190" t="s">
        <v>354</v>
      </c>
      <c r="C190" t="s">
        <v>21</v>
      </c>
      <c r="D190" t="s">
        <v>22</v>
      </c>
      <c r="E190">
        <v>5</v>
      </c>
      <c r="F190" s="4">
        <v>17.04</v>
      </c>
      <c r="G190" s="4" t="str">
        <f t="shared" si="18"/>
        <v>Mid-Range</v>
      </c>
      <c r="H190" s="4">
        <f t="shared" si="24"/>
        <v>10.223999999999998</v>
      </c>
      <c r="I190">
        <f t="shared" si="19"/>
        <v>85.199999999999989</v>
      </c>
      <c r="J190" s="4">
        <f t="shared" si="25"/>
        <v>74.975999999999985</v>
      </c>
      <c r="K190" s="8">
        <f t="shared" si="26"/>
        <v>0.87999999999999989</v>
      </c>
      <c r="L190" t="s">
        <v>15</v>
      </c>
      <c r="M190" s="2">
        <v>45745.684502314813</v>
      </c>
      <c r="N190" s="3">
        <v>45745.684502314813</v>
      </c>
      <c r="O190" t="str">
        <f t="shared" si="20"/>
        <v>Mar</v>
      </c>
      <c r="P190" t="str">
        <f t="shared" si="21"/>
        <v>Sat</v>
      </c>
      <c r="Q190" t="str">
        <f t="shared" si="22"/>
        <v>Weekend</v>
      </c>
      <c r="R190">
        <f t="shared" si="23"/>
        <v>16</v>
      </c>
      <c r="S190" t="s">
        <v>528</v>
      </c>
    </row>
    <row r="191" spans="1:19" x14ac:dyDescent="0.25">
      <c r="A191">
        <v>1326</v>
      </c>
      <c r="B191" t="s">
        <v>495</v>
      </c>
      <c r="C191" t="s">
        <v>37</v>
      </c>
      <c r="D191" t="s">
        <v>10</v>
      </c>
      <c r="E191">
        <v>3</v>
      </c>
      <c r="F191" s="4">
        <v>21.3</v>
      </c>
      <c r="G191" s="4" t="str">
        <f t="shared" si="18"/>
        <v>Premium</v>
      </c>
      <c r="H191" s="4">
        <f t="shared" si="24"/>
        <v>12.78</v>
      </c>
      <c r="I191">
        <f t="shared" si="19"/>
        <v>63.900000000000006</v>
      </c>
      <c r="J191" s="4">
        <f t="shared" si="25"/>
        <v>51.120000000000005</v>
      </c>
      <c r="K191" s="8">
        <f t="shared" si="26"/>
        <v>0.8</v>
      </c>
      <c r="L191" t="s">
        <v>19</v>
      </c>
      <c r="M191" s="2">
        <v>45747.831944444442</v>
      </c>
      <c r="N191" s="3">
        <v>45747.831944444442</v>
      </c>
      <c r="O191" t="str">
        <f t="shared" si="20"/>
        <v>Mar</v>
      </c>
      <c r="P191" t="str">
        <f t="shared" si="21"/>
        <v>Mon</v>
      </c>
      <c r="Q191" t="str">
        <f t="shared" si="22"/>
        <v>Weekday</v>
      </c>
      <c r="R191">
        <f t="shared" si="23"/>
        <v>19</v>
      </c>
      <c r="S191" t="s">
        <v>529</v>
      </c>
    </row>
    <row r="192" spans="1:19" x14ac:dyDescent="0.25">
      <c r="A192">
        <v>7257</v>
      </c>
      <c r="B192" t="s">
        <v>176</v>
      </c>
      <c r="C192" t="s">
        <v>37</v>
      </c>
      <c r="D192" t="s">
        <v>10</v>
      </c>
      <c r="E192">
        <v>3</v>
      </c>
      <c r="F192" s="4">
        <v>11.61</v>
      </c>
      <c r="G192" s="4" t="str">
        <f t="shared" si="18"/>
        <v>Mid-Range</v>
      </c>
      <c r="H192" s="4">
        <f t="shared" si="24"/>
        <v>6.9659999999999993</v>
      </c>
      <c r="I192">
        <f t="shared" si="19"/>
        <v>34.83</v>
      </c>
      <c r="J192" s="4">
        <f t="shared" si="25"/>
        <v>27.863999999999997</v>
      </c>
      <c r="K192" s="8">
        <f t="shared" si="26"/>
        <v>0.79999999999999993</v>
      </c>
      <c r="L192" t="s">
        <v>15</v>
      </c>
      <c r="M192" s="2">
        <v>45748.630729166667</v>
      </c>
      <c r="N192" s="3">
        <v>45748.630729166667</v>
      </c>
      <c r="O192" t="str">
        <f t="shared" si="20"/>
        <v>Apr</v>
      </c>
      <c r="P192" t="str">
        <f t="shared" si="21"/>
        <v>Tue</v>
      </c>
      <c r="Q192" t="str">
        <f t="shared" si="22"/>
        <v>Weekday</v>
      </c>
      <c r="R192">
        <f t="shared" si="23"/>
        <v>15</v>
      </c>
      <c r="S192" t="s">
        <v>528</v>
      </c>
    </row>
    <row r="193" spans="1:19" x14ac:dyDescent="0.25">
      <c r="A193">
        <v>2660</v>
      </c>
      <c r="B193" t="s">
        <v>253</v>
      </c>
      <c r="C193" t="s">
        <v>30</v>
      </c>
      <c r="D193" t="s">
        <v>10</v>
      </c>
      <c r="E193">
        <v>3</v>
      </c>
      <c r="F193" s="4">
        <v>14.93</v>
      </c>
      <c r="G193" s="4" t="str">
        <f t="shared" si="18"/>
        <v>Mid-Range</v>
      </c>
      <c r="H193" s="4">
        <f t="shared" si="24"/>
        <v>8.9580000000000002</v>
      </c>
      <c r="I193">
        <f t="shared" si="19"/>
        <v>44.79</v>
      </c>
      <c r="J193" s="4">
        <f t="shared" si="25"/>
        <v>35.832000000000001</v>
      </c>
      <c r="K193" s="8">
        <f t="shared" si="26"/>
        <v>0.8</v>
      </c>
      <c r="L193" t="s">
        <v>17</v>
      </c>
      <c r="M193" s="2">
        <v>45750.812569444446</v>
      </c>
      <c r="N193" s="3">
        <v>45750.812569444446</v>
      </c>
      <c r="O193" t="str">
        <f t="shared" si="20"/>
        <v>Apr</v>
      </c>
      <c r="P193" t="str">
        <f t="shared" si="21"/>
        <v>Thu</v>
      </c>
      <c r="Q193" t="str">
        <f t="shared" si="22"/>
        <v>Weekday</v>
      </c>
      <c r="R193">
        <f t="shared" si="23"/>
        <v>19</v>
      </c>
      <c r="S193" t="s">
        <v>529</v>
      </c>
    </row>
    <row r="194" spans="1:19" x14ac:dyDescent="0.25">
      <c r="A194">
        <v>4846</v>
      </c>
      <c r="B194" t="s">
        <v>168</v>
      </c>
      <c r="C194" t="s">
        <v>35</v>
      </c>
      <c r="D194" t="s">
        <v>22</v>
      </c>
      <c r="E194">
        <v>2</v>
      </c>
      <c r="F194" s="4">
        <v>10.54</v>
      </c>
      <c r="G194" s="4" t="str">
        <f t="shared" ref="G194:G257" si="27">IF(F194&lt;10,"Budget",IF(F194&lt;20,"Mid-Range","Premium"))</f>
        <v>Mid-Range</v>
      </c>
      <c r="H194" s="4">
        <f t="shared" si="24"/>
        <v>6.323999999999999</v>
      </c>
      <c r="I194">
        <f t="shared" ref="I194:I257" si="28">E194 * F194</f>
        <v>21.08</v>
      </c>
      <c r="J194" s="4">
        <f t="shared" si="25"/>
        <v>14.756</v>
      </c>
      <c r="K194" s="8">
        <f t="shared" si="26"/>
        <v>0.70000000000000007</v>
      </c>
      <c r="L194" t="s">
        <v>17</v>
      </c>
      <c r="M194" s="2">
        <v>45751.267997685187</v>
      </c>
      <c r="N194" s="3">
        <v>45751.267997685187</v>
      </c>
      <c r="O194" t="str">
        <f t="shared" ref="O194:O257" si="29">TEXT(N194,"MMM")</f>
        <v>Apr</v>
      </c>
      <c r="P194" t="str">
        <f t="shared" ref="P194:P257" si="30">TEXT(M194, "DDD")</f>
        <v>Fri</v>
      </c>
      <c r="Q194" t="str">
        <f t="shared" ref="Q194:Q257" si="31">IF(OR(P194="Fri",P194="Sat"),"Weekend","Weekday")</f>
        <v>Weekend</v>
      </c>
      <c r="R194">
        <f t="shared" ref="R194:R257" si="32">HOUR(N194)</f>
        <v>6</v>
      </c>
      <c r="S194" t="s">
        <v>527</v>
      </c>
    </row>
    <row r="195" spans="1:19" x14ac:dyDescent="0.25">
      <c r="A195">
        <v>3017</v>
      </c>
      <c r="B195" t="s">
        <v>149</v>
      </c>
      <c r="C195" t="s">
        <v>33</v>
      </c>
      <c r="D195" t="s">
        <v>14</v>
      </c>
      <c r="E195">
        <v>1</v>
      </c>
      <c r="F195" s="4">
        <v>14.93</v>
      </c>
      <c r="G195" s="4" t="str">
        <f t="shared" si="27"/>
        <v>Mid-Range</v>
      </c>
      <c r="H195" s="4">
        <f t="shared" ref="H195:H258" si="33">60% * F195</f>
        <v>8.9580000000000002</v>
      </c>
      <c r="I195">
        <f t="shared" si="28"/>
        <v>14.93</v>
      </c>
      <c r="J195" s="4">
        <f t="shared" ref="J195:J258" si="34">I195 - H195</f>
        <v>5.9719999999999995</v>
      </c>
      <c r="K195" s="8">
        <f t="shared" ref="K195:K258" si="35">J195 / I195</f>
        <v>0.39999999999999997</v>
      </c>
      <c r="L195" t="s">
        <v>15</v>
      </c>
      <c r="M195" s="2">
        <v>45751.463958333334</v>
      </c>
      <c r="N195" s="3">
        <v>45751.463958333334</v>
      </c>
      <c r="O195" t="str">
        <f t="shared" si="29"/>
        <v>Apr</v>
      </c>
      <c r="P195" t="str">
        <f t="shared" si="30"/>
        <v>Fri</v>
      </c>
      <c r="Q195" t="str">
        <f t="shared" si="31"/>
        <v>Weekend</v>
      </c>
      <c r="R195">
        <f t="shared" si="32"/>
        <v>11</v>
      </c>
      <c r="S195" t="s">
        <v>527</v>
      </c>
    </row>
    <row r="196" spans="1:19" x14ac:dyDescent="0.25">
      <c r="A196">
        <v>5624</v>
      </c>
      <c r="B196" t="s">
        <v>137</v>
      </c>
      <c r="C196" t="s">
        <v>9</v>
      </c>
      <c r="D196" t="s">
        <v>10</v>
      </c>
      <c r="E196">
        <v>5</v>
      </c>
      <c r="F196" s="4">
        <v>20.07</v>
      </c>
      <c r="G196" s="4" t="str">
        <f t="shared" si="27"/>
        <v>Premium</v>
      </c>
      <c r="H196" s="4">
        <f t="shared" si="33"/>
        <v>12.042</v>
      </c>
      <c r="I196">
        <f t="shared" si="28"/>
        <v>100.35</v>
      </c>
      <c r="J196" s="4">
        <f t="shared" si="34"/>
        <v>88.307999999999993</v>
      </c>
      <c r="K196" s="8">
        <f t="shared" si="35"/>
        <v>0.88</v>
      </c>
      <c r="L196" t="s">
        <v>17</v>
      </c>
      <c r="M196" s="2">
        <v>45751.68645833333</v>
      </c>
      <c r="N196" s="3">
        <v>45751.68645833333</v>
      </c>
      <c r="O196" t="str">
        <f t="shared" si="29"/>
        <v>Apr</v>
      </c>
      <c r="P196" t="str">
        <f t="shared" si="30"/>
        <v>Fri</v>
      </c>
      <c r="Q196" t="str">
        <f t="shared" si="31"/>
        <v>Weekend</v>
      </c>
      <c r="R196">
        <f t="shared" si="32"/>
        <v>16</v>
      </c>
      <c r="S196" t="s">
        <v>528</v>
      </c>
    </row>
    <row r="197" spans="1:19" x14ac:dyDescent="0.25">
      <c r="A197">
        <v>1278</v>
      </c>
      <c r="B197" t="s">
        <v>126</v>
      </c>
      <c r="C197" t="s">
        <v>40</v>
      </c>
      <c r="D197" t="s">
        <v>22</v>
      </c>
      <c r="E197">
        <v>3</v>
      </c>
      <c r="F197" s="4">
        <v>8.6999999999999993</v>
      </c>
      <c r="G197" s="4" t="str">
        <f t="shared" si="27"/>
        <v>Budget</v>
      </c>
      <c r="H197" s="4">
        <f t="shared" si="33"/>
        <v>5.22</v>
      </c>
      <c r="I197">
        <f t="shared" si="28"/>
        <v>26.099999999999998</v>
      </c>
      <c r="J197" s="4">
        <f t="shared" si="34"/>
        <v>20.88</v>
      </c>
      <c r="K197" s="8">
        <f t="shared" si="35"/>
        <v>0.8</v>
      </c>
      <c r="L197" t="s">
        <v>11</v>
      </c>
      <c r="M197" s="2">
        <v>45752.523553240739</v>
      </c>
      <c r="N197" s="3">
        <v>45752.523553240739</v>
      </c>
      <c r="O197" t="str">
        <f t="shared" si="29"/>
        <v>Apr</v>
      </c>
      <c r="P197" t="str">
        <f t="shared" si="30"/>
        <v>Sat</v>
      </c>
      <c r="Q197" t="str">
        <f t="shared" si="31"/>
        <v>Weekend</v>
      </c>
      <c r="R197">
        <f t="shared" si="32"/>
        <v>12</v>
      </c>
      <c r="S197" t="s">
        <v>528</v>
      </c>
    </row>
    <row r="198" spans="1:19" x14ac:dyDescent="0.25">
      <c r="A198">
        <v>4367</v>
      </c>
      <c r="B198" t="s">
        <v>449</v>
      </c>
      <c r="C198" t="s">
        <v>28</v>
      </c>
      <c r="D198" t="s">
        <v>14</v>
      </c>
      <c r="E198">
        <v>5</v>
      </c>
      <c r="F198" s="4">
        <v>4.4000000000000004</v>
      </c>
      <c r="G198" s="4" t="str">
        <f t="shared" si="27"/>
        <v>Budget</v>
      </c>
      <c r="H198" s="4">
        <f t="shared" si="33"/>
        <v>2.64</v>
      </c>
      <c r="I198">
        <f t="shared" si="28"/>
        <v>22</v>
      </c>
      <c r="J198" s="4">
        <f t="shared" si="34"/>
        <v>19.36</v>
      </c>
      <c r="K198" s="8">
        <f t="shared" si="35"/>
        <v>0.88</v>
      </c>
      <c r="L198" t="s">
        <v>11</v>
      </c>
      <c r="M198" s="2">
        <v>45752.596944444442</v>
      </c>
      <c r="N198" s="3">
        <v>45752.596944444442</v>
      </c>
      <c r="O198" t="str">
        <f t="shared" si="29"/>
        <v>Apr</v>
      </c>
      <c r="P198" t="str">
        <f t="shared" si="30"/>
        <v>Sat</v>
      </c>
      <c r="Q198" t="str">
        <f t="shared" si="31"/>
        <v>Weekend</v>
      </c>
      <c r="R198">
        <f t="shared" si="32"/>
        <v>14</v>
      </c>
      <c r="S198" t="s">
        <v>528</v>
      </c>
    </row>
    <row r="199" spans="1:19" x14ac:dyDescent="0.25">
      <c r="A199">
        <v>3517</v>
      </c>
      <c r="B199" t="s">
        <v>450</v>
      </c>
      <c r="C199" t="s">
        <v>28</v>
      </c>
      <c r="D199" t="s">
        <v>14</v>
      </c>
      <c r="E199">
        <v>2</v>
      </c>
      <c r="F199" s="4">
        <v>19.52</v>
      </c>
      <c r="G199" s="4" t="str">
        <f t="shared" si="27"/>
        <v>Mid-Range</v>
      </c>
      <c r="H199" s="4">
        <f t="shared" si="33"/>
        <v>11.712</v>
      </c>
      <c r="I199">
        <f t="shared" si="28"/>
        <v>39.04</v>
      </c>
      <c r="J199" s="4">
        <f t="shared" si="34"/>
        <v>27.327999999999999</v>
      </c>
      <c r="K199" s="8">
        <f t="shared" si="35"/>
        <v>0.7</v>
      </c>
      <c r="L199" t="s">
        <v>11</v>
      </c>
      <c r="M199" s="2">
        <v>45753.135752314818</v>
      </c>
      <c r="N199" s="3">
        <v>45753.135752314818</v>
      </c>
      <c r="O199" t="str">
        <f t="shared" si="29"/>
        <v>Apr</v>
      </c>
      <c r="P199" t="str">
        <f t="shared" si="30"/>
        <v>Sun</v>
      </c>
      <c r="Q199" t="str">
        <f t="shared" si="31"/>
        <v>Weekday</v>
      </c>
      <c r="R199">
        <f t="shared" si="32"/>
        <v>3</v>
      </c>
      <c r="S199" t="s">
        <v>527</v>
      </c>
    </row>
    <row r="200" spans="1:19" x14ac:dyDescent="0.25">
      <c r="A200">
        <v>8174</v>
      </c>
      <c r="B200" t="s">
        <v>477</v>
      </c>
      <c r="C200" t="s">
        <v>9</v>
      </c>
      <c r="D200" t="s">
        <v>10</v>
      </c>
      <c r="E200">
        <v>2</v>
      </c>
      <c r="F200" s="4">
        <v>7.19</v>
      </c>
      <c r="G200" s="4" t="str">
        <f t="shared" si="27"/>
        <v>Budget</v>
      </c>
      <c r="H200" s="4">
        <f t="shared" si="33"/>
        <v>4.3140000000000001</v>
      </c>
      <c r="I200">
        <f t="shared" si="28"/>
        <v>14.38</v>
      </c>
      <c r="J200" s="4">
        <f t="shared" si="34"/>
        <v>10.066000000000001</v>
      </c>
      <c r="K200" s="8">
        <f t="shared" si="35"/>
        <v>0.70000000000000007</v>
      </c>
      <c r="L200" t="s">
        <v>17</v>
      </c>
      <c r="M200" s="2">
        <v>45753.241284722222</v>
      </c>
      <c r="N200" s="3">
        <v>45753.241284722222</v>
      </c>
      <c r="O200" t="str">
        <f t="shared" si="29"/>
        <v>Apr</v>
      </c>
      <c r="P200" t="str">
        <f t="shared" si="30"/>
        <v>Sun</v>
      </c>
      <c r="Q200" t="str">
        <f t="shared" si="31"/>
        <v>Weekday</v>
      </c>
      <c r="R200">
        <f t="shared" si="32"/>
        <v>5</v>
      </c>
      <c r="S200" t="s">
        <v>527</v>
      </c>
    </row>
    <row r="201" spans="1:19" x14ac:dyDescent="0.25">
      <c r="A201">
        <v>9089</v>
      </c>
      <c r="B201" t="s">
        <v>196</v>
      </c>
      <c r="C201" t="s">
        <v>37</v>
      </c>
      <c r="D201" t="s">
        <v>10</v>
      </c>
      <c r="E201">
        <v>5</v>
      </c>
      <c r="F201" s="4">
        <v>16.93</v>
      </c>
      <c r="G201" s="4" t="str">
        <f t="shared" si="27"/>
        <v>Mid-Range</v>
      </c>
      <c r="H201" s="4">
        <f t="shared" si="33"/>
        <v>10.157999999999999</v>
      </c>
      <c r="I201">
        <f t="shared" si="28"/>
        <v>84.65</v>
      </c>
      <c r="J201" s="4">
        <f t="shared" si="34"/>
        <v>74.492000000000004</v>
      </c>
      <c r="K201" s="8">
        <f t="shared" si="35"/>
        <v>0.88</v>
      </c>
      <c r="L201" t="s">
        <v>19</v>
      </c>
      <c r="M201" s="2">
        <v>45753.609710648147</v>
      </c>
      <c r="N201" s="3">
        <v>45753.609710648147</v>
      </c>
      <c r="O201" t="str">
        <f t="shared" si="29"/>
        <v>Apr</v>
      </c>
      <c r="P201" t="str">
        <f t="shared" si="30"/>
        <v>Sun</v>
      </c>
      <c r="Q201" t="str">
        <f t="shared" si="31"/>
        <v>Weekday</v>
      </c>
      <c r="R201">
        <f t="shared" si="32"/>
        <v>14</v>
      </c>
      <c r="S201" t="s">
        <v>528</v>
      </c>
    </row>
    <row r="202" spans="1:19" x14ac:dyDescent="0.25">
      <c r="A202">
        <v>6706</v>
      </c>
      <c r="B202" t="s">
        <v>249</v>
      </c>
      <c r="C202" t="s">
        <v>13</v>
      </c>
      <c r="D202" t="s">
        <v>14</v>
      </c>
      <c r="E202">
        <v>5</v>
      </c>
      <c r="F202" s="4">
        <v>9.32</v>
      </c>
      <c r="G202" s="4" t="str">
        <f t="shared" si="27"/>
        <v>Budget</v>
      </c>
      <c r="H202" s="4">
        <f t="shared" si="33"/>
        <v>5.5919999999999996</v>
      </c>
      <c r="I202">
        <f t="shared" si="28"/>
        <v>46.6</v>
      </c>
      <c r="J202" s="4">
        <f t="shared" si="34"/>
        <v>41.008000000000003</v>
      </c>
      <c r="K202" s="8">
        <f t="shared" si="35"/>
        <v>0.88</v>
      </c>
      <c r="L202" t="s">
        <v>15</v>
      </c>
      <c r="M202" s="2">
        <v>45753.780717592592</v>
      </c>
      <c r="N202" s="3">
        <v>45753.780717592592</v>
      </c>
      <c r="O202" t="str">
        <f t="shared" si="29"/>
        <v>Apr</v>
      </c>
      <c r="P202" t="str">
        <f t="shared" si="30"/>
        <v>Sun</v>
      </c>
      <c r="Q202" t="str">
        <f t="shared" si="31"/>
        <v>Weekday</v>
      </c>
      <c r="R202">
        <f t="shared" si="32"/>
        <v>18</v>
      </c>
      <c r="S202" t="s">
        <v>529</v>
      </c>
    </row>
    <row r="203" spans="1:19" x14ac:dyDescent="0.25">
      <c r="A203">
        <v>9301</v>
      </c>
      <c r="B203" t="s">
        <v>177</v>
      </c>
      <c r="C203" t="s">
        <v>9</v>
      </c>
      <c r="D203" t="s">
        <v>10</v>
      </c>
      <c r="E203">
        <v>1</v>
      </c>
      <c r="F203" s="4">
        <v>17.89</v>
      </c>
      <c r="G203" s="4" t="str">
        <f t="shared" si="27"/>
        <v>Mid-Range</v>
      </c>
      <c r="H203" s="4">
        <f t="shared" si="33"/>
        <v>10.734</v>
      </c>
      <c r="I203">
        <f t="shared" si="28"/>
        <v>17.89</v>
      </c>
      <c r="J203" s="4">
        <f t="shared" si="34"/>
        <v>7.1560000000000006</v>
      </c>
      <c r="K203" s="8">
        <f t="shared" si="35"/>
        <v>0.4</v>
      </c>
      <c r="L203" t="s">
        <v>17</v>
      </c>
      <c r="M203" s="2">
        <v>45754.322060185186</v>
      </c>
      <c r="N203" s="3">
        <v>45754.322060185186</v>
      </c>
      <c r="O203" t="str">
        <f t="shared" si="29"/>
        <v>Apr</v>
      </c>
      <c r="P203" t="str">
        <f t="shared" si="30"/>
        <v>Mon</v>
      </c>
      <c r="Q203" t="str">
        <f t="shared" si="31"/>
        <v>Weekday</v>
      </c>
      <c r="R203">
        <f t="shared" si="32"/>
        <v>7</v>
      </c>
      <c r="S203" t="s">
        <v>527</v>
      </c>
    </row>
    <row r="204" spans="1:19" x14ac:dyDescent="0.25">
      <c r="A204">
        <v>1177</v>
      </c>
      <c r="B204" t="s">
        <v>453</v>
      </c>
      <c r="C204" t="s">
        <v>21</v>
      </c>
      <c r="D204" t="s">
        <v>22</v>
      </c>
      <c r="E204">
        <v>5</v>
      </c>
      <c r="F204" s="4">
        <v>2.44</v>
      </c>
      <c r="G204" s="4" t="str">
        <f t="shared" si="27"/>
        <v>Budget</v>
      </c>
      <c r="H204" s="4">
        <f t="shared" si="33"/>
        <v>1.464</v>
      </c>
      <c r="I204">
        <f t="shared" si="28"/>
        <v>12.2</v>
      </c>
      <c r="J204" s="4">
        <f t="shared" si="34"/>
        <v>10.735999999999999</v>
      </c>
      <c r="K204" s="8">
        <f t="shared" si="35"/>
        <v>0.88</v>
      </c>
      <c r="L204" t="s">
        <v>11</v>
      </c>
      <c r="M204" s="2">
        <v>45754.575428240743</v>
      </c>
      <c r="N204" s="3">
        <v>45754.575428240743</v>
      </c>
      <c r="O204" t="str">
        <f t="shared" si="29"/>
        <v>Apr</v>
      </c>
      <c r="P204" t="str">
        <f t="shared" si="30"/>
        <v>Mon</v>
      </c>
      <c r="Q204" t="str">
        <f t="shared" si="31"/>
        <v>Weekday</v>
      </c>
      <c r="R204">
        <f t="shared" si="32"/>
        <v>13</v>
      </c>
      <c r="S204" t="s">
        <v>528</v>
      </c>
    </row>
    <row r="205" spans="1:19" x14ac:dyDescent="0.25">
      <c r="A205">
        <v>1057</v>
      </c>
      <c r="B205" t="s">
        <v>442</v>
      </c>
      <c r="C205" t="s">
        <v>21</v>
      </c>
      <c r="D205" t="s">
        <v>22</v>
      </c>
      <c r="E205">
        <v>5</v>
      </c>
      <c r="F205" s="4">
        <v>5.12</v>
      </c>
      <c r="G205" s="4" t="str">
        <f t="shared" si="27"/>
        <v>Budget</v>
      </c>
      <c r="H205" s="4">
        <f t="shared" si="33"/>
        <v>3.0720000000000001</v>
      </c>
      <c r="I205">
        <f t="shared" si="28"/>
        <v>25.6</v>
      </c>
      <c r="J205" s="4">
        <f t="shared" si="34"/>
        <v>22.528000000000002</v>
      </c>
      <c r="K205" s="8">
        <f t="shared" si="35"/>
        <v>0.88</v>
      </c>
      <c r="L205" t="s">
        <v>17</v>
      </c>
      <c r="M205" s="2">
        <v>45755.166134259256</v>
      </c>
      <c r="N205" s="3">
        <v>45755.166134259256</v>
      </c>
      <c r="O205" t="str">
        <f t="shared" si="29"/>
        <v>Apr</v>
      </c>
      <c r="P205" t="str">
        <f t="shared" si="30"/>
        <v>Tue</v>
      </c>
      <c r="Q205" t="str">
        <f t="shared" si="31"/>
        <v>Weekday</v>
      </c>
      <c r="R205">
        <f t="shared" si="32"/>
        <v>3</v>
      </c>
      <c r="S205" t="s">
        <v>527</v>
      </c>
    </row>
    <row r="206" spans="1:19" x14ac:dyDescent="0.25">
      <c r="A206">
        <v>7535</v>
      </c>
      <c r="B206" t="s">
        <v>411</v>
      </c>
      <c r="C206" t="s">
        <v>40</v>
      </c>
      <c r="D206" t="s">
        <v>22</v>
      </c>
      <c r="E206">
        <v>2</v>
      </c>
      <c r="F206" s="4">
        <v>22.45</v>
      </c>
      <c r="G206" s="4" t="str">
        <f t="shared" si="27"/>
        <v>Premium</v>
      </c>
      <c r="H206" s="4">
        <f t="shared" si="33"/>
        <v>13.469999999999999</v>
      </c>
      <c r="I206">
        <f t="shared" si="28"/>
        <v>44.9</v>
      </c>
      <c r="J206" s="4">
        <f t="shared" si="34"/>
        <v>31.43</v>
      </c>
      <c r="K206" s="8">
        <f t="shared" si="35"/>
        <v>0.70000000000000007</v>
      </c>
      <c r="L206" t="s">
        <v>11</v>
      </c>
      <c r="M206" s="2">
        <v>45755.394872685189</v>
      </c>
      <c r="N206" s="3">
        <v>45755.394872685189</v>
      </c>
      <c r="O206" t="str">
        <f t="shared" si="29"/>
        <v>Apr</v>
      </c>
      <c r="P206" t="str">
        <f t="shared" si="30"/>
        <v>Tue</v>
      </c>
      <c r="Q206" t="str">
        <f t="shared" si="31"/>
        <v>Weekday</v>
      </c>
      <c r="R206">
        <f t="shared" si="32"/>
        <v>9</v>
      </c>
      <c r="S206" t="s">
        <v>527</v>
      </c>
    </row>
    <row r="207" spans="1:19" x14ac:dyDescent="0.25">
      <c r="A207">
        <v>4352</v>
      </c>
      <c r="B207" t="s">
        <v>264</v>
      </c>
      <c r="C207" t="s">
        <v>21</v>
      </c>
      <c r="D207" t="s">
        <v>22</v>
      </c>
      <c r="E207">
        <v>5</v>
      </c>
      <c r="F207" s="4">
        <v>2.5099999999999998</v>
      </c>
      <c r="G207" s="4" t="str">
        <f t="shared" si="27"/>
        <v>Budget</v>
      </c>
      <c r="H207" s="4">
        <f t="shared" si="33"/>
        <v>1.5059999999999998</v>
      </c>
      <c r="I207">
        <f t="shared" si="28"/>
        <v>12.549999999999999</v>
      </c>
      <c r="J207" s="4">
        <f t="shared" si="34"/>
        <v>11.043999999999999</v>
      </c>
      <c r="K207" s="8">
        <f t="shared" si="35"/>
        <v>0.88</v>
      </c>
      <c r="L207" t="s">
        <v>17</v>
      </c>
      <c r="M207" s="2">
        <v>45756.184803240743</v>
      </c>
      <c r="N207" s="3">
        <v>45756.184803240743</v>
      </c>
      <c r="O207" t="str">
        <f t="shared" si="29"/>
        <v>Apr</v>
      </c>
      <c r="P207" t="str">
        <f t="shared" si="30"/>
        <v>Wed</v>
      </c>
      <c r="Q207" t="str">
        <f t="shared" si="31"/>
        <v>Weekday</v>
      </c>
      <c r="R207">
        <f t="shared" si="32"/>
        <v>4</v>
      </c>
      <c r="S207" t="s">
        <v>527</v>
      </c>
    </row>
    <row r="208" spans="1:19" x14ac:dyDescent="0.25">
      <c r="A208">
        <v>8196</v>
      </c>
      <c r="B208" t="s">
        <v>374</v>
      </c>
      <c r="C208" t="s">
        <v>13</v>
      </c>
      <c r="D208" t="s">
        <v>14</v>
      </c>
      <c r="E208">
        <v>1</v>
      </c>
      <c r="F208" s="4">
        <v>13.91</v>
      </c>
      <c r="G208" s="4" t="str">
        <f t="shared" si="27"/>
        <v>Mid-Range</v>
      </c>
      <c r="H208" s="4">
        <f t="shared" si="33"/>
        <v>8.3460000000000001</v>
      </c>
      <c r="I208">
        <f t="shared" si="28"/>
        <v>13.91</v>
      </c>
      <c r="J208" s="4">
        <f t="shared" si="34"/>
        <v>5.5640000000000001</v>
      </c>
      <c r="K208" s="8">
        <f t="shared" si="35"/>
        <v>0.4</v>
      </c>
      <c r="L208" t="s">
        <v>19</v>
      </c>
      <c r="M208" s="2">
        <v>45756.742777777778</v>
      </c>
      <c r="N208" s="3">
        <v>45756.742777777778</v>
      </c>
      <c r="O208" t="str">
        <f t="shared" si="29"/>
        <v>Apr</v>
      </c>
      <c r="P208" t="str">
        <f t="shared" si="30"/>
        <v>Wed</v>
      </c>
      <c r="Q208" t="str">
        <f t="shared" si="31"/>
        <v>Weekday</v>
      </c>
      <c r="R208">
        <f t="shared" si="32"/>
        <v>17</v>
      </c>
      <c r="S208" t="s">
        <v>528</v>
      </c>
    </row>
    <row r="209" spans="1:19" x14ac:dyDescent="0.25">
      <c r="A209">
        <v>1816</v>
      </c>
      <c r="B209" t="s">
        <v>122</v>
      </c>
      <c r="C209" t="s">
        <v>13</v>
      </c>
      <c r="D209" t="s">
        <v>14</v>
      </c>
      <c r="E209">
        <v>3</v>
      </c>
      <c r="F209" s="4">
        <v>21.93</v>
      </c>
      <c r="G209" s="4" t="str">
        <f t="shared" si="27"/>
        <v>Premium</v>
      </c>
      <c r="H209" s="4">
        <f t="shared" si="33"/>
        <v>13.157999999999999</v>
      </c>
      <c r="I209">
        <f t="shared" si="28"/>
        <v>65.789999999999992</v>
      </c>
      <c r="J209" s="4">
        <f t="shared" si="34"/>
        <v>52.631999999999991</v>
      </c>
      <c r="K209" s="8">
        <f t="shared" si="35"/>
        <v>0.79999999999999993</v>
      </c>
      <c r="L209" t="s">
        <v>11</v>
      </c>
      <c r="M209" s="2">
        <v>45756.830925925926</v>
      </c>
      <c r="N209" s="3">
        <v>45756.830925925926</v>
      </c>
      <c r="O209" t="str">
        <f t="shared" si="29"/>
        <v>Apr</v>
      </c>
      <c r="P209" t="str">
        <f t="shared" si="30"/>
        <v>Wed</v>
      </c>
      <c r="Q209" t="str">
        <f t="shared" si="31"/>
        <v>Weekday</v>
      </c>
      <c r="R209">
        <f t="shared" si="32"/>
        <v>19</v>
      </c>
      <c r="S209" t="s">
        <v>529</v>
      </c>
    </row>
    <row r="210" spans="1:19" x14ac:dyDescent="0.25">
      <c r="A210">
        <v>1510</v>
      </c>
      <c r="B210" t="s">
        <v>233</v>
      </c>
      <c r="C210" t="s">
        <v>35</v>
      </c>
      <c r="D210" t="s">
        <v>22</v>
      </c>
      <c r="E210">
        <v>5</v>
      </c>
      <c r="F210" s="4">
        <v>7.5</v>
      </c>
      <c r="G210" s="4" t="str">
        <f t="shared" si="27"/>
        <v>Budget</v>
      </c>
      <c r="H210" s="4">
        <f t="shared" si="33"/>
        <v>4.5</v>
      </c>
      <c r="I210">
        <f t="shared" si="28"/>
        <v>37.5</v>
      </c>
      <c r="J210" s="4">
        <f t="shared" si="34"/>
        <v>33</v>
      </c>
      <c r="K210" s="8">
        <f t="shared" si="35"/>
        <v>0.88</v>
      </c>
      <c r="L210" t="s">
        <v>15</v>
      </c>
      <c r="M210" s="2">
        <v>45757.321435185186</v>
      </c>
      <c r="N210" s="3">
        <v>45757.321435185186</v>
      </c>
      <c r="O210" t="str">
        <f t="shared" si="29"/>
        <v>Apr</v>
      </c>
      <c r="P210" t="str">
        <f t="shared" si="30"/>
        <v>Thu</v>
      </c>
      <c r="Q210" t="str">
        <f t="shared" si="31"/>
        <v>Weekday</v>
      </c>
      <c r="R210">
        <f t="shared" si="32"/>
        <v>7</v>
      </c>
      <c r="S210" t="s">
        <v>527</v>
      </c>
    </row>
    <row r="211" spans="1:19" x14ac:dyDescent="0.25">
      <c r="A211">
        <v>5747</v>
      </c>
      <c r="B211" t="s">
        <v>316</v>
      </c>
      <c r="C211" t="s">
        <v>33</v>
      </c>
      <c r="D211" t="s">
        <v>14</v>
      </c>
      <c r="E211">
        <v>2</v>
      </c>
      <c r="F211" s="4">
        <v>8.57</v>
      </c>
      <c r="G211" s="4" t="str">
        <f t="shared" si="27"/>
        <v>Budget</v>
      </c>
      <c r="H211" s="4">
        <f t="shared" si="33"/>
        <v>5.1420000000000003</v>
      </c>
      <c r="I211">
        <f t="shared" si="28"/>
        <v>17.14</v>
      </c>
      <c r="J211" s="4">
        <f t="shared" si="34"/>
        <v>11.998000000000001</v>
      </c>
      <c r="K211" s="8">
        <f t="shared" si="35"/>
        <v>0.70000000000000007</v>
      </c>
      <c r="L211" t="s">
        <v>17</v>
      </c>
      <c r="M211" s="2">
        <v>45757.539849537039</v>
      </c>
      <c r="N211" s="3">
        <v>45757.539849537039</v>
      </c>
      <c r="O211" t="str">
        <f t="shared" si="29"/>
        <v>Apr</v>
      </c>
      <c r="P211" t="str">
        <f t="shared" si="30"/>
        <v>Thu</v>
      </c>
      <c r="Q211" t="str">
        <f t="shared" si="31"/>
        <v>Weekday</v>
      </c>
      <c r="R211">
        <f t="shared" si="32"/>
        <v>12</v>
      </c>
      <c r="S211" t="s">
        <v>528</v>
      </c>
    </row>
    <row r="212" spans="1:19" x14ac:dyDescent="0.25">
      <c r="A212">
        <v>5892</v>
      </c>
      <c r="B212" t="s">
        <v>363</v>
      </c>
      <c r="C212" t="s">
        <v>28</v>
      </c>
      <c r="D212" t="s">
        <v>14</v>
      </c>
      <c r="E212">
        <v>5</v>
      </c>
      <c r="F212" s="4">
        <v>22.63</v>
      </c>
      <c r="G212" s="4" t="str">
        <f t="shared" si="27"/>
        <v>Premium</v>
      </c>
      <c r="H212" s="4">
        <f t="shared" si="33"/>
        <v>13.577999999999999</v>
      </c>
      <c r="I212">
        <f t="shared" si="28"/>
        <v>113.14999999999999</v>
      </c>
      <c r="J212" s="4">
        <f t="shared" si="34"/>
        <v>99.571999999999989</v>
      </c>
      <c r="K212" s="8">
        <f t="shared" si="35"/>
        <v>0.88</v>
      </c>
      <c r="L212" t="s">
        <v>17</v>
      </c>
      <c r="M212" s="2">
        <v>45757.588530092595</v>
      </c>
      <c r="N212" s="3">
        <v>45757.588530092595</v>
      </c>
      <c r="O212" t="str">
        <f t="shared" si="29"/>
        <v>Apr</v>
      </c>
      <c r="P212" t="str">
        <f t="shared" si="30"/>
        <v>Thu</v>
      </c>
      <c r="Q212" t="str">
        <f t="shared" si="31"/>
        <v>Weekday</v>
      </c>
      <c r="R212">
        <f t="shared" si="32"/>
        <v>14</v>
      </c>
      <c r="S212" t="s">
        <v>528</v>
      </c>
    </row>
    <row r="213" spans="1:19" x14ac:dyDescent="0.25">
      <c r="A213">
        <v>5845</v>
      </c>
      <c r="B213" t="s">
        <v>330</v>
      </c>
      <c r="C213" t="s">
        <v>21</v>
      </c>
      <c r="D213" t="s">
        <v>22</v>
      </c>
      <c r="E213">
        <v>5</v>
      </c>
      <c r="F213" s="4">
        <v>10.83</v>
      </c>
      <c r="G213" s="4" t="str">
        <f t="shared" si="27"/>
        <v>Mid-Range</v>
      </c>
      <c r="H213" s="4">
        <f t="shared" si="33"/>
        <v>6.4980000000000002</v>
      </c>
      <c r="I213">
        <f t="shared" si="28"/>
        <v>54.15</v>
      </c>
      <c r="J213" s="4">
        <f t="shared" si="34"/>
        <v>47.652000000000001</v>
      </c>
      <c r="K213" s="8">
        <f t="shared" si="35"/>
        <v>0.88</v>
      </c>
      <c r="L213" t="s">
        <v>17</v>
      </c>
      <c r="M213" s="2">
        <v>45759.002430555556</v>
      </c>
      <c r="N213" s="3">
        <v>45759.002430555556</v>
      </c>
      <c r="O213" t="str">
        <f t="shared" si="29"/>
        <v>Apr</v>
      </c>
      <c r="P213" t="str">
        <f t="shared" si="30"/>
        <v>Sat</v>
      </c>
      <c r="Q213" t="str">
        <f t="shared" si="31"/>
        <v>Weekend</v>
      </c>
      <c r="R213">
        <f t="shared" si="32"/>
        <v>0</v>
      </c>
      <c r="S213" t="s">
        <v>527</v>
      </c>
    </row>
    <row r="214" spans="1:19" x14ac:dyDescent="0.25">
      <c r="A214">
        <v>1587</v>
      </c>
      <c r="B214" t="s">
        <v>23</v>
      </c>
      <c r="C214" t="s">
        <v>13</v>
      </c>
      <c r="D214" t="s">
        <v>14</v>
      </c>
      <c r="E214">
        <v>5</v>
      </c>
      <c r="F214" s="4">
        <v>7.39</v>
      </c>
      <c r="G214" s="4" t="str">
        <f t="shared" si="27"/>
        <v>Budget</v>
      </c>
      <c r="H214" s="4">
        <f t="shared" si="33"/>
        <v>4.4339999999999993</v>
      </c>
      <c r="I214">
        <f t="shared" si="28"/>
        <v>36.949999999999996</v>
      </c>
      <c r="J214" s="4">
        <f t="shared" si="34"/>
        <v>32.515999999999998</v>
      </c>
      <c r="K214" s="8">
        <f t="shared" si="35"/>
        <v>0.88</v>
      </c>
      <c r="L214" t="s">
        <v>17</v>
      </c>
      <c r="M214" s="2">
        <v>45759.242569444446</v>
      </c>
      <c r="N214" s="3">
        <v>45759.242569444446</v>
      </c>
      <c r="O214" t="str">
        <f t="shared" si="29"/>
        <v>Apr</v>
      </c>
      <c r="P214" t="str">
        <f t="shared" si="30"/>
        <v>Sat</v>
      </c>
      <c r="Q214" t="str">
        <f t="shared" si="31"/>
        <v>Weekend</v>
      </c>
      <c r="R214">
        <f t="shared" si="32"/>
        <v>5</v>
      </c>
      <c r="S214" t="s">
        <v>527</v>
      </c>
    </row>
    <row r="215" spans="1:19" x14ac:dyDescent="0.25">
      <c r="A215">
        <v>1088</v>
      </c>
      <c r="B215" t="s">
        <v>54</v>
      </c>
      <c r="C215" t="s">
        <v>33</v>
      </c>
      <c r="D215" t="s">
        <v>14</v>
      </c>
      <c r="E215">
        <v>1</v>
      </c>
      <c r="F215" s="4">
        <v>14.82</v>
      </c>
      <c r="G215" s="4" t="str">
        <f t="shared" si="27"/>
        <v>Mid-Range</v>
      </c>
      <c r="H215" s="4">
        <f t="shared" si="33"/>
        <v>8.8919999999999995</v>
      </c>
      <c r="I215">
        <f t="shared" si="28"/>
        <v>14.82</v>
      </c>
      <c r="J215" s="4">
        <f t="shared" si="34"/>
        <v>5.9280000000000008</v>
      </c>
      <c r="K215" s="8">
        <f t="shared" si="35"/>
        <v>0.4</v>
      </c>
      <c r="L215" t="s">
        <v>11</v>
      </c>
      <c r="M215" s="2">
        <v>45759.431712962964</v>
      </c>
      <c r="N215" s="3">
        <v>45759.431712962964</v>
      </c>
      <c r="O215" t="str">
        <f t="shared" si="29"/>
        <v>Apr</v>
      </c>
      <c r="P215" t="str">
        <f t="shared" si="30"/>
        <v>Sat</v>
      </c>
      <c r="Q215" t="str">
        <f t="shared" si="31"/>
        <v>Weekend</v>
      </c>
      <c r="R215">
        <f t="shared" si="32"/>
        <v>10</v>
      </c>
      <c r="S215" t="s">
        <v>527</v>
      </c>
    </row>
    <row r="216" spans="1:19" x14ac:dyDescent="0.25">
      <c r="A216">
        <v>4859</v>
      </c>
      <c r="B216" t="s">
        <v>107</v>
      </c>
      <c r="C216" t="s">
        <v>40</v>
      </c>
      <c r="D216" t="s">
        <v>22</v>
      </c>
      <c r="E216">
        <v>3</v>
      </c>
      <c r="F216" s="4">
        <v>9.52</v>
      </c>
      <c r="G216" s="4" t="str">
        <f t="shared" si="27"/>
        <v>Budget</v>
      </c>
      <c r="H216" s="4">
        <f t="shared" si="33"/>
        <v>5.7119999999999997</v>
      </c>
      <c r="I216">
        <f t="shared" si="28"/>
        <v>28.56</v>
      </c>
      <c r="J216" s="4">
        <f t="shared" si="34"/>
        <v>22.847999999999999</v>
      </c>
      <c r="K216" s="8">
        <f t="shared" si="35"/>
        <v>0.8</v>
      </c>
      <c r="L216" t="s">
        <v>11</v>
      </c>
      <c r="M216" s="2">
        <v>45759.605613425927</v>
      </c>
      <c r="N216" s="3">
        <v>45759.605613425927</v>
      </c>
      <c r="O216" t="str">
        <f t="shared" si="29"/>
        <v>Apr</v>
      </c>
      <c r="P216" t="str">
        <f t="shared" si="30"/>
        <v>Sat</v>
      </c>
      <c r="Q216" t="str">
        <f t="shared" si="31"/>
        <v>Weekend</v>
      </c>
      <c r="R216">
        <f t="shared" si="32"/>
        <v>14</v>
      </c>
      <c r="S216" t="s">
        <v>528</v>
      </c>
    </row>
    <row r="217" spans="1:19" x14ac:dyDescent="0.25">
      <c r="A217">
        <v>5559</v>
      </c>
      <c r="B217" t="s">
        <v>300</v>
      </c>
      <c r="C217" t="s">
        <v>28</v>
      </c>
      <c r="D217" t="s">
        <v>14</v>
      </c>
      <c r="E217">
        <v>1</v>
      </c>
      <c r="F217" s="4">
        <v>20.93</v>
      </c>
      <c r="G217" s="4" t="str">
        <f t="shared" si="27"/>
        <v>Premium</v>
      </c>
      <c r="H217" s="4">
        <f t="shared" si="33"/>
        <v>12.558</v>
      </c>
      <c r="I217">
        <f t="shared" si="28"/>
        <v>20.93</v>
      </c>
      <c r="J217" s="4">
        <f t="shared" si="34"/>
        <v>8.3719999999999999</v>
      </c>
      <c r="K217" s="8">
        <f t="shared" si="35"/>
        <v>0.4</v>
      </c>
      <c r="L217" t="s">
        <v>15</v>
      </c>
      <c r="M217" s="2">
        <v>45760.091747685183</v>
      </c>
      <c r="N217" s="3">
        <v>45760.091747685183</v>
      </c>
      <c r="O217" t="str">
        <f t="shared" si="29"/>
        <v>Apr</v>
      </c>
      <c r="P217" t="str">
        <f t="shared" si="30"/>
        <v>Sun</v>
      </c>
      <c r="Q217" t="str">
        <f t="shared" si="31"/>
        <v>Weekday</v>
      </c>
      <c r="R217">
        <f t="shared" si="32"/>
        <v>2</v>
      </c>
      <c r="S217" t="s">
        <v>527</v>
      </c>
    </row>
    <row r="218" spans="1:19" x14ac:dyDescent="0.25">
      <c r="A218">
        <v>7805</v>
      </c>
      <c r="B218" t="s">
        <v>95</v>
      </c>
      <c r="C218" t="s">
        <v>33</v>
      </c>
      <c r="D218" t="s">
        <v>14</v>
      </c>
      <c r="E218">
        <v>1</v>
      </c>
      <c r="F218" s="4">
        <v>17.82</v>
      </c>
      <c r="G218" s="4" t="str">
        <f t="shared" si="27"/>
        <v>Mid-Range</v>
      </c>
      <c r="H218" s="4">
        <f t="shared" si="33"/>
        <v>10.692</v>
      </c>
      <c r="I218">
        <f t="shared" si="28"/>
        <v>17.82</v>
      </c>
      <c r="J218" s="4">
        <f t="shared" si="34"/>
        <v>7.1280000000000001</v>
      </c>
      <c r="K218" s="8">
        <f t="shared" si="35"/>
        <v>0.4</v>
      </c>
      <c r="L218" t="s">
        <v>15</v>
      </c>
      <c r="M218" s="2">
        <v>45760.24728009259</v>
      </c>
      <c r="N218" s="3">
        <v>45760.24728009259</v>
      </c>
      <c r="O218" t="str">
        <f t="shared" si="29"/>
        <v>Apr</v>
      </c>
      <c r="P218" t="str">
        <f t="shared" si="30"/>
        <v>Sun</v>
      </c>
      <c r="Q218" t="str">
        <f t="shared" si="31"/>
        <v>Weekday</v>
      </c>
      <c r="R218">
        <f t="shared" si="32"/>
        <v>5</v>
      </c>
      <c r="S218" t="s">
        <v>527</v>
      </c>
    </row>
    <row r="219" spans="1:19" x14ac:dyDescent="0.25">
      <c r="A219">
        <v>7046</v>
      </c>
      <c r="B219" t="s">
        <v>344</v>
      </c>
      <c r="C219" t="s">
        <v>9</v>
      </c>
      <c r="D219" t="s">
        <v>10</v>
      </c>
      <c r="E219">
        <v>2</v>
      </c>
      <c r="F219" s="4">
        <v>13.69</v>
      </c>
      <c r="G219" s="4" t="str">
        <f t="shared" si="27"/>
        <v>Mid-Range</v>
      </c>
      <c r="H219" s="4">
        <f t="shared" si="33"/>
        <v>8.2139999999999986</v>
      </c>
      <c r="I219">
        <f t="shared" si="28"/>
        <v>27.38</v>
      </c>
      <c r="J219" s="4">
        <f t="shared" si="34"/>
        <v>19.166</v>
      </c>
      <c r="K219" s="8">
        <f t="shared" si="35"/>
        <v>0.70000000000000007</v>
      </c>
      <c r="L219" t="s">
        <v>11</v>
      </c>
      <c r="M219" s="2">
        <v>45760.761886574073</v>
      </c>
      <c r="N219" s="3">
        <v>45760.761886574073</v>
      </c>
      <c r="O219" t="str">
        <f t="shared" si="29"/>
        <v>Apr</v>
      </c>
      <c r="P219" t="str">
        <f t="shared" si="30"/>
        <v>Sun</v>
      </c>
      <c r="Q219" t="str">
        <f t="shared" si="31"/>
        <v>Weekday</v>
      </c>
      <c r="R219">
        <f t="shared" si="32"/>
        <v>18</v>
      </c>
      <c r="S219" t="s">
        <v>529</v>
      </c>
    </row>
    <row r="220" spans="1:19" x14ac:dyDescent="0.25">
      <c r="A220">
        <v>2013</v>
      </c>
      <c r="B220" t="s">
        <v>87</v>
      </c>
      <c r="C220" t="s">
        <v>30</v>
      </c>
      <c r="D220" t="s">
        <v>10</v>
      </c>
      <c r="E220">
        <v>4</v>
      </c>
      <c r="F220" s="4">
        <v>9.02</v>
      </c>
      <c r="G220" s="4" t="str">
        <f t="shared" si="27"/>
        <v>Budget</v>
      </c>
      <c r="H220" s="4">
        <f t="shared" si="33"/>
        <v>5.4119999999999999</v>
      </c>
      <c r="I220">
        <f t="shared" si="28"/>
        <v>36.08</v>
      </c>
      <c r="J220" s="4">
        <f t="shared" si="34"/>
        <v>30.667999999999999</v>
      </c>
      <c r="K220" s="8">
        <f t="shared" si="35"/>
        <v>0.85</v>
      </c>
      <c r="L220" t="s">
        <v>15</v>
      </c>
      <c r="M220" s="2">
        <v>45760.890856481485</v>
      </c>
      <c r="N220" s="3">
        <v>45760.890856481485</v>
      </c>
      <c r="O220" t="str">
        <f t="shared" si="29"/>
        <v>Apr</v>
      </c>
      <c r="P220" t="str">
        <f t="shared" si="30"/>
        <v>Sun</v>
      </c>
      <c r="Q220" t="str">
        <f t="shared" si="31"/>
        <v>Weekday</v>
      </c>
      <c r="R220">
        <f t="shared" si="32"/>
        <v>21</v>
      </c>
      <c r="S220" t="s">
        <v>529</v>
      </c>
    </row>
    <row r="221" spans="1:19" x14ac:dyDescent="0.25">
      <c r="A221">
        <v>1439</v>
      </c>
      <c r="B221" t="s">
        <v>500</v>
      </c>
      <c r="C221" t="s">
        <v>13</v>
      </c>
      <c r="D221" t="s">
        <v>14</v>
      </c>
      <c r="E221">
        <v>5</v>
      </c>
      <c r="F221" s="4">
        <v>7.94</v>
      </c>
      <c r="G221" s="4" t="str">
        <f t="shared" si="27"/>
        <v>Budget</v>
      </c>
      <c r="H221" s="4">
        <f t="shared" si="33"/>
        <v>4.7640000000000002</v>
      </c>
      <c r="I221">
        <f t="shared" si="28"/>
        <v>39.700000000000003</v>
      </c>
      <c r="J221" s="4">
        <f t="shared" si="34"/>
        <v>34.936</v>
      </c>
      <c r="K221" s="8">
        <f t="shared" si="35"/>
        <v>0.87999999999999989</v>
      </c>
      <c r="L221" t="s">
        <v>15</v>
      </c>
      <c r="M221" s="2">
        <v>45761.101979166669</v>
      </c>
      <c r="N221" s="3">
        <v>45761.101979166669</v>
      </c>
      <c r="O221" t="str">
        <f t="shared" si="29"/>
        <v>Apr</v>
      </c>
      <c r="P221" t="str">
        <f t="shared" si="30"/>
        <v>Mon</v>
      </c>
      <c r="Q221" t="str">
        <f t="shared" si="31"/>
        <v>Weekday</v>
      </c>
      <c r="R221">
        <f t="shared" si="32"/>
        <v>2</v>
      </c>
      <c r="S221" t="s">
        <v>527</v>
      </c>
    </row>
    <row r="222" spans="1:19" x14ac:dyDescent="0.25">
      <c r="A222">
        <v>8828</v>
      </c>
      <c r="B222" t="s">
        <v>362</v>
      </c>
      <c r="C222" t="s">
        <v>40</v>
      </c>
      <c r="D222" t="s">
        <v>22</v>
      </c>
      <c r="E222">
        <v>1</v>
      </c>
      <c r="F222" s="4">
        <v>13.11</v>
      </c>
      <c r="G222" s="4" t="str">
        <f t="shared" si="27"/>
        <v>Mid-Range</v>
      </c>
      <c r="H222" s="4">
        <f t="shared" si="33"/>
        <v>7.8659999999999997</v>
      </c>
      <c r="I222">
        <f t="shared" si="28"/>
        <v>13.11</v>
      </c>
      <c r="J222" s="4">
        <f t="shared" si="34"/>
        <v>5.2439999999999998</v>
      </c>
      <c r="K222" s="8">
        <f t="shared" si="35"/>
        <v>0.4</v>
      </c>
      <c r="L222" t="s">
        <v>11</v>
      </c>
      <c r="M222" s="2">
        <v>45761.252453703702</v>
      </c>
      <c r="N222" s="3">
        <v>45761.252453703702</v>
      </c>
      <c r="O222" t="str">
        <f t="shared" si="29"/>
        <v>Apr</v>
      </c>
      <c r="P222" t="str">
        <f t="shared" si="30"/>
        <v>Mon</v>
      </c>
      <c r="Q222" t="str">
        <f t="shared" si="31"/>
        <v>Weekday</v>
      </c>
      <c r="R222">
        <f t="shared" si="32"/>
        <v>6</v>
      </c>
      <c r="S222" t="s">
        <v>527</v>
      </c>
    </row>
    <row r="223" spans="1:19" x14ac:dyDescent="0.25">
      <c r="A223">
        <v>7092</v>
      </c>
      <c r="B223" t="s">
        <v>210</v>
      </c>
      <c r="C223" t="s">
        <v>40</v>
      </c>
      <c r="D223" t="s">
        <v>22</v>
      </c>
      <c r="E223">
        <v>3</v>
      </c>
      <c r="F223" s="4">
        <v>3.13</v>
      </c>
      <c r="G223" s="4" t="str">
        <f t="shared" si="27"/>
        <v>Budget</v>
      </c>
      <c r="H223" s="4">
        <f t="shared" si="33"/>
        <v>1.8779999999999999</v>
      </c>
      <c r="I223">
        <f t="shared" si="28"/>
        <v>9.39</v>
      </c>
      <c r="J223" s="4">
        <f t="shared" si="34"/>
        <v>7.5120000000000005</v>
      </c>
      <c r="K223" s="8">
        <f t="shared" si="35"/>
        <v>0.8</v>
      </c>
      <c r="L223" t="s">
        <v>17</v>
      </c>
      <c r="M223" s="2">
        <v>45762.456921296296</v>
      </c>
      <c r="N223" s="3">
        <v>45762.456921296296</v>
      </c>
      <c r="O223" t="str">
        <f t="shared" si="29"/>
        <v>Apr</v>
      </c>
      <c r="P223" t="str">
        <f t="shared" si="30"/>
        <v>Tue</v>
      </c>
      <c r="Q223" t="str">
        <f t="shared" si="31"/>
        <v>Weekday</v>
      </c>
      <c r="R223">
        <f t="shared" si="32"/>
        <v>10</v>
      </c>
      <c r="S223" t="s">
        <v>527</v>
      </c>
    </row>
    <row r="224" spans="1:19" x14ac:dyDescent="0.25">
      <c r="A224">
        <v>8875</v>
      </c>
      <c r="B224" t="s">
        <v>486</v>
      </c>
      <c r="C224" t="s">
        <v>13</v>
      </c>
      <c r="D224" t="s">
        <v>14</v>
      </c>
      <c r="E224">
        <v>2</v>
      </c>
      <c r="F224" s="4">
        <v>20.3</v>
      </c>
      <c r="G224" s="4" t="str">
        <f t="shared" si="27"/>
        <v>Premium</v>
      </c>
      <c r="H224" s="4">
        <f t="shared" si="33"/>
        <v>12.18</v>
      </c>
      <c r="I224">
        <f t="shared" si="28"/>
        <v>40.6</v>
      </c>
      <c r="J224" s="4">
        <f t="shared" si="34"/>
        <v>28.42</v>
      </c>
      <c r="K224" s="8">
        <f t="shared" si="35"/>
        <v>0.70000000000000007</v>
      </c>
      <c r="L224" t="s">
        <v>19</v>
      </c>
      <c r="M224" s="2">
        <v>45763.17460648148</v>
      </c>
      <c r="N224" s="3">
        <v>45763.17460648148</v>
      </c>
      <c r="O224" t="str">
        <f t="shared" si="29"/>
        <v>Apr</v>
      </c>
      <c r="P224" t="str">
        <f t="shared" si="30"/>
        <v>Wed</v>
      </c>
      <c r="Q224" t="str">
        <f t="shared" si="31"/>
        <v>Weekday</v>
      </c>
      <c r="R224">
        <f t="shared" si="32"/>
        <v>4</v>
      </c>
      <c r="S224" t="s">
        <v>527</v>
      </c>
    </row>
    <row r="225" spans="1:19" x14ac:dyDescent="0.25">
      <c r="A225">
        <v>3605</v>
      </c>
      <c r="B225" t="s">
        <v>220</v>
      </c>
      <c r="C225" t="s">
        <v>13</v>
      </c>
      <c r="D225" t="s">
        <v>14</v>
      </c>
      <c r="E225">
        <v>1</v>
      </c>
      <c r="F225" s="4">
        <v>4.58</v>
      </c>
      <c r="G225" s="4" t="str">
        <f t="shared" si="27"/>
        <v>Budget</v>
      </c>
      <c r="H225" s="4">
        <f t="shared" si="33"/>
        <v>2.7479999999999998</v>
      </c>
      <c r="I225">
        <f t="shared" si="28"/>
        <v>4.58</v>
      </c>
      <c r="J225" s="4">
        <f t="shared" si="34"/>
        <v>1.8320000000000003</v>
      </c>
      <c r="K225" s="8">
        <f t="shared" si="35"/>
        <v>0.40000000000000008</v>
      </c>
      <c r="L225" t="s">
        <v>19</v>
      </c>
      <c r="M225" s="2">
        <v>45763.590046296296</v>
      </c>
      <c r="N225" s="3">
        <v>45763.590046296296</v>
      </c>
      <c r="O225" t="str">
        <f t="shared" si="29"/>
        <v>Apr</v>
      </c>
      <c r="P225" t="str">
        <f t="shared" si="30"/>
        <v>Wed</v>
      </c>
      <c r="Q225" t="str">
        <f t="shared" si="31"/>
        <v>Weekday</v>
      </c>
      <c r="R225">
        <f t="shared" si="32"/>
        <v>14</v>
      </c>
      <c r="S225" t="s">
        <v>528</v>
      </c>
    </row>
    <row r="226" spans="1:19" x14ac:dyDescent="0.25">
      <c r="A226">
        <v>4803</v>
      </c>
      <c r="B226" t="s">
        <v>272</v>
      </c>
      <c r="C226" t="s">
        <v>33</v>
      </c>
      <c r="D226" t="s">
        <v>14</v>
      </c>
      <c r="E226">
        <v>5</v>
      </c>
      <c r="F226" s="4">
        <v>7.76</v>
      </c>
      <c r="G226" s="4" t="str">
        <f t="shared" si="27"/>
        <v>Budget</v>
      </c>
      <c r="H226" s="4">
        <f t="shared" si="33"/>
        <v>4.6559999999999997</v>
      </c>
      <c r="I226">
        <f t="shared" si="28"/>
        <v>38.799999999999997</v>
      </c>
      <c r="J226" s="4">
        <f t="shared" si="34"/>
        <v>34.143999999999998</v>
      </c>
      <c r="K226" s="8">
        <f t="shared" si="35"/>
        <v>0.88</v>
      </c>
      <c r="L226" t="s">
        <v>19</v>
      </c>
      <c r="M226" s="2">
        <v>45764.522002314814</v>
      </c>
      <c r="N226" s="3">
        <v>45764.522002314814</v>
      </c>
      <c r="O226" t="str">
        <f t="shared" si="29"/>
        <v>Apr</v>
      </c>
      <c r="P226" t="str">
        <f t="shared" si="30"/>
        <v>Thu</v>
      </c>
      <c r="Q226" t="str">
        <f t="shared" si="31"/>
        <v>Weekday</v>
      </c>
      <c r="R226">
        <f t="shared" si="32"/>
        <v>12</v>
      </c>
      <c r="S226" t="s">
        <v>528</v>
      </c>
    </row>
    <row r="227" spans="1:19" x14ac:dyDescent="0.25">
      <c r="A227">
        <v>9798</v>
      </c>
      <c r="B227" t="s">
        <v>429</v>
      </c>
      <c r="C227" t="s">
        <v>28</v>
      </c>
      <c r="D227" t="s">
        <v>14</v>
      </c>
      <c r="E227">
        <v>5</v>
      </c>
      <c r="F227" s="4">
        <v>10.53</v>
      </c>
      <c r="G227" s="4" t="str">
        <f t="shared" si="27"/>
        <v>Mid-Range</v>
      </c>
      <c r="H227" s="4">
        <f t="shared" si="33"/>
        <v>6.3179999999999996</v>
      </c>
      <c r="I227">
        <f t="shared" si="28"/>
        <v>52.65</v>
      </c>
      <c r="J227" s="4">
        <f t="shared" si="34"/>
        <v>46.332000000000001</v>
      </c>
      <c r="K227" s="8">
        <f t="shared" si="35"/>
        <v>0.88</v>
      </c>
      <c r="L227" t="s">
        <v>11</v>
      </c>
      <c r="M227" s="2">
        <v>45764.771469907406</v>
      </c>
      <c r="N227" s="3">
        <v>45764.771469907406</v>
      </c>
      <c r="O227" t="str">
        <f t="shared" si="29"/>
        <v>Apr</v>
      </c>
      <c r="P227" t="str">
        <f t="shared" si="30"/>
        <v>Thu</v>
      </c>
      <c r="Q227" t="str">
        <f t="shared" si="31"/>
        <v>Weekday</v>
      </c>
      <c r="R227">
        <f t="shared" si="32"/>
        <v>18</v>
      </c>
      <c r="S227" t="s">
        <v>529</v>
      </c>
    </row>
    <row r="228" spans="1:19" x14ac:dyDescent="0.25">
      <c r="A228">
        <v>3280</v>
      </c>
      <c r="B228" t="s">
        <v>502</v>
      </c>
      <c r="C228" t="s">
        <v>33</v>
      </c>
      <c r="D228" t="s">
        <v>14</v>
      </c>
      <c r="E228">
        <v>4</v>
      </c>
      <c r="F228" s="4">
        <v>2.06</v>
      </c>
      <c r="G228" s="4" t="str">
        <f t="shared" si="27"/>
        <v>Budget</v>
      </c>
      <c r="H228" s="4">
        <f t="shared" si="33"/>
        <v>1.236</v>
      </c>
      <c r="I228">
        <f t="shared" si="28"/>
        <v>8.24</v>
      </c>
      <c r="J228" s="4">
        <f t="shared" si="34"/>
        <v>7.0040000000000004</v>
      </c>
      <c r="K228" s="8">
        <f t="shared" si="35"/>
        <v>0.85</v>
      </c>
      <c r="L228" t="s">
        <v>11</v>
      </c>
      <c r="M228" s="2">
        <v>45765.081296296295</v>
      </c>
      <c r="N228" s="3">
        <v>45765.081296296295</v>
      </c>
      <c r="O228" t="str">
        <f t="shared" si="29"/>
        <v>Apr</v>
      </c>
      <c r="P228" t="str">
        <f t="shared" si="30"/>
        <v>Fri</v>
      </c>
      <c r="Q228" t="str">
        <f t="shared" si="31"/>
        <v>Weekend</v>
      </c>
      <c r="R228">
        <f t="shared" si="32"/>
        <v>1</v>
      </c>
      <c r="S228" t="s">
        <v>527</v>
      </c>
    </row>
    <row r="229" spans="1:19" x14ac:dyDescent="0.25">
      <c r="A229">
        <v>5544</v>
      </c>
      <c r="B229" t="s">
        <v>193</v>
      </c>
      <c r="C229" t="s">
        <v>35</v>
      </c>
      <c r="D229" t="s">
        <v>22</v>
      </c>
      <c r="E229">
        <v>2</v>
      </c>
      <c r="F229" s="4">
        <v>10.24</v>
      </c>
      <c r="G229" s="4" t="str">
        <f t="shared" si="27"/>
        <v>Mid-Range</v>
      </c>
      <c r="H229" s="4">
        <f t="shared" si="33"/>
        <v>6.1440000000000001</v>
      </c>
      <c r="I229">
        <f t="shared" si="28"/>
        <v>20.48</v>
      </c>
      <c r="J229" s="4">
        <f t="shared" si="34"/>
        <v>14.336</v>
      </c>
      <c r="K229" s="8">
        <f t="shared" si="35"/>
        <v>0.7</v>
      </c>
      <c r="L229" t="s">
        <v>17</v>
      </c>
      <c r="M229" s="2">
        <v>45765.478321759256</v>
      </c>
      <c r="N229" s="3">
        <v>45765.478321759256</v>
      </c>
      <c r="O229" t="str">
        <f t="shared" si="29"/>
        <v>Apr</v>
      </c>
      <c r="P229" t="str">
        <f t="shared" si="30"/>
        <v>Fri</v>
      </c>
      <c r="Q229" t="str">
        <f t="shared" si="31"/>
        <v>Weekend</v>
      </c>
      <c r="R229">
        <f t="shared" si="32"/>
        <v>11</v>
      </c>
      <c r="S229" t="s">
        <v>527</v>
      </c>
    </row>
    <row r="230" spans="1:19" x14ac:dyDescent="0.25">
      <c r="A230">
        <v>5387</v>
      </c>
      <c r="B230" t="s">
        <v>504</v>
      </c>
      <c r="C230" t="s">
        <v>21</v>
      </c>
      <c r="D230" t="s">
        <v>22</v>
      </c>
      <c r="E230">
        <v>1</v>
      </c>
      <c r="F230" s="4">
        <v>16.579999999999998</v>
      </c>
      <c r="G230" s="4" t="str">
        <f t="shared" si="27"/>
        <v>Mid-Range</v>
      </c>
      <c r="H230" s="4">
        <f t="shared" si="33"/>
        <v>9.9479999999999986</v>
      </c>
      <c r="I230">
        <f t="shared" si="28"/>
        <v>16.579999999999998</v>
      </c>
      <c r="J230" s="4">
        <f t="shared" si="34"/>
        <v>6.6319999999999997</v>
      </c>
      <c r="K230" s="8">
        <f t="shared" si="35"/>
        <v>0.4</v>
      </c>
      <c r="L230" t="s">
        <v>11</v>
      </c>
      <c r="M230" s="2">
        <v>45767.10392361111</v>
      </c>
      <c r="N230" s="3">
        <v>45767.10392361111</v>
      </c>
      <c r="O230" t="str">
        <f t="shared" si="29"/>
        <v>Apr</v>
      </c>
      <c r="P230" t="str">
        <f t="shared" si="30"/>
        <v>Sun</v>
      </c>
      <c r="Q230" t="str">
        <f t="shared" si="31"/>
        <v>Weekday</v>
      </c>
      <c r="R230">
        <f t="shared" si="32"/>
        <v>2</v>
      </c>
      <c r="S230" t="s">
        <v>527</v>
      </c>
    </row>
    <row r="231" spans="1:19" x14ac:dyDescent="0.25">
      <c r="A231">
        <v>3982</v>
      </c>
      <c r="B231" t="s">
        <v>157</v>
      </c>
      <c r="C231" t="s">
        <v>21</v>
      </c>
      <c r="D231" t="s">
        <v>22</v>
      </c>
      <c r="E231">
        <v>4</v>
      </c>
      <c r="F231" s="4">
        <v>21.02</v>
      </c>
      <c r="G231" s="4" t="str">
        <f t="shared" si="27"/>
        <v>Premium</v>
      </c>
      <c r="H231" s="4">
        <f t="shared" si="33"/>
        <v>12.612</v>
      </c>
      <c r="I231">
        <f t="shared" si="28"/>
        <v>84.08</v>
      </c>
      <c r="J231" s="4">
        <f t="shared" si="34"/>
        <v>71.468000000000004</v>
      </c>
      <c r="K231" s="8">
        <f t="shared" si="35"/>
        <v>0.85000000000000009</v>
      </c>
      <c r="L231" t="s">
        <v>15</v>
      </c>
      <c r="M231" s="2">
        <v>45767.474907407406</v>
      </c>
      <c r="N231" s="3">
        <v>45767.474907407406</v>
      </c>
      <c r="O231" t="str">
        <f t="shared" si="29"/>
        <v>Apr</v>
      </c>
      <c r="P231" t="str">
        <f t="shared" si="30"/>
        <v>Sun</v>
      </c>
      <c r="Q231" t="str">
        <f t="shared" si="31"/>
        <v>Weekday</v>
      </c>
      <c r="R231">
        <f t="shared" si="32"/>
        <v>11</v>
      </c>
      <c r="S231" t="s">
        <v>527</v>
      </c>
    </row>
    <row r="232" spans="1:19" x14ac:dyDescent="0.25">
      <c r="A232">
        <v>9276</v>
      </c>
      <c r="B232" t="s">
        <v>130</v>
      </c>
      <c r="C232" t="s">
        <v>40</v>
      </c>
      <c r="D232" t="s">
        <v>22</v>
      </c>
      <c r="E232">
        <v>4</v>
      </c>
      <c r="F232" s="4">
        <v>21.35</v>
      </c>
      <c r="G232" s="4" t="str">
        <f t="shared" si="27"/>
        <v>Premium</v>
      </c>
      <c r="H232" s="4">
        <f t="shared" si="33"/>
        <v>12.81</v>
      </c>
      <c r="I232">
        <f t="shared" si="28"/>
        <v>85.4</v>
      </c>
      <c r="J232" s="4">
        <f t="shared" si="34"/>
        <v>72.59</v>
      </c>
      <c r="K232" s="8">
        <f t="shared" si="35"/>
        <v>0.85</v>
      </c>
      <c r="L232" t="s">
        <v>15</v>
      </c>
      <c r="M232" s="2">
        <v>45767.478229166663</v>
      </c>
      <c r="N232" s="3">
        <v>45767.478229166663</v>
      </c>
      <c r="O232" t="str">
        <f t="shared" si="29"/>
        <v>Apr</v>
      </c>
      <c r="P232" t="str">
        <f t="shared" si="30"/>
        <v>Sun</v>
      </c>
      <c r="Q232" t="str">
        <f t="shared" si="31"/>
        <v>Weekday</v>
      </c>
      <c r="R232">
        <f t="shared" si="32"/>
        <v>11</v>
      </c>
      <c r="S232" t="s">
        <v>527</v>
      </c>
    </row>
    <row r="233" spans="1:19" x14ac:dyDescent="0.25">
      <c r="A233">
        <v>6626</v>
      </c>
      <c r="B233" t="s">
        <v>479</v>
      </c>
      <c r="C233" t="s">
        <v>40</v>
      </c>
      <c r="D233" t="s">
        <v>22</v>
      </c>
      <c r="E233">
        <v>1</v>
      </c>
      <c r="F233" s="4">
        <v>21.57</v>
      </c>
      <c r="G233" s="4" t="str">
        <f t="shared" si="27"/>
        <v>Premium</v>
      </c>
      <c r="H233" s="4">
        <f t="shared" si="33"/>
        <v>12.942</v>
      </c>
      <c r="I233">
        <f t="shared" si="28"/>
        <v>21.57</v>
      </c>
      <c r="J233" s="4">
        <f t="shared" si="34"/>
        <v>8.6280000000000001</v>
      </c>
      <c r="K233" s="8">
        <f t="shared" si="35"/>
        <v>0.4</v>
      </c>
      <c r="L233" t="s">
        <v>11</v>
      </c>
      <c r="M233" s="2">
        <v>45767.582430555558</v>
      </c>
      <c r="N233" s="3">
        <v>45767.582430555558</v>
      </c>
      <c r="O233" t="str">
        <f t="shared" si="29"/>
        <v>Apr</v>
      </c>
      <c r="P233" t="str">
        <f t="shared" si="30"/>
        <v>Sun</v>
      </c>
      <c r="Q233" t="str">
        <f t="shared" si="31"/>
        <v>Weekday</v>
      </c>
      <c r="R233">
        <f t="shared" si="32"/>
        <v>13</v>
      </c>
      <c r="S233" t="s">
        <v>528</v>
      </c>
    </row>
    <row r="234" spans="1:19" x14ac:dyDescent="0.25">
      <c r="A234">
        <v>9772</v>
      </c>
      <c r="B234" t="s">
        <v>494</v>
      </c>
      <c r="C234" t="s">
        <v>13</v>
      </c>
      <c r="D234" t="s">
        <v>14</v>
      </c>
      <c r="E234">
        <v>5</v>
      </c>
      <c r="F234" s="4">
        <v>2.81</v>
      </c>
      <c r="G234" s="4" t="str">
        <f t="shared" si="27"/>
        <v>Budget</v>
      </c>
      <c r="H234" s="4">
        <f t="shared" si="33"/>
        <v>1.6859999999999999</v>
      </c>
      <c r="I234">
        <f t="shared" si="28"/>
        <v>14.05</v>
      </c>
      <c r="J234" s="4">
        <f t="shared" si="34"/>
        <v>12.364000000000001</v>
      </c>
      <c r="K234" s="8">
        <f t="shared" si="35"/>
        <v>0.88</v>
      </c>
      <c r="L234" t="s">
        <v>15</v>
      </c>
      <c r="M234" s="2">
        <v>45767.784479166665</v>
      </c>
      <c r="N234" s="3">
        <v>45767.784479166665</v>
      </c>
      <c r="O234" t="str">
        <f t="shared" si="29"/>
        <v>Apr</v>
      </c>
      <c r="P234" t="str">
        <f t="shared" si="30"/>
        <v>Sun</v>
      </c>
      <c r="Q234" t="str">
        <f t="shared" si="31"/>
        <v>Weekday</v>
      </c>
      <c r="R234">
        <f t="shared" si="32"/>
        <v>18</v>
      </c>
      <c r="S234" t="s">
        <v>529</v>
      </c>
    </row>
    <row r="235" spans="1:19" x14ac:dyDescent="0.25">
      <c r="A235">
        <v>4959</v>
      </c>
      <c r="B235" t="s">
        <v>420</v>
      </c>
      <c r="C235" t="s">
        <v>40</v>
      </c>
      <c r="D235" t="s">
        <v>22</v>
      </c>
      <c r="E235">
        <v>3</v>
      </c>
      <c r="F235" s="4">
        <v>11.61</v>
      </c>
      <c r="G235" s="4" t="str">
        <f t="shared" si="27"/>
        <v>Mid-Range</v>
      </c>
      <c r="H235" s="4">
        <f t="shared" si="33"/>
        <v>6.9659999999999993</v>
      </c>
      <c r="I235">
        <f t="shared" si="28"/>
        <v>34.83</v>
      </c>
      <c r="J235" s="4">
        <f t="shared" si="34"/>
        <v>27.863999999999997</v>
      </c>
      <c r="K235" s="8">
        <f t="shared" si="35"/>
        <v>0.79999999999999993</v>
      </c>
      <c r="L235" t="s">
        <v>11</v>
      </c>
      <c r="M235" s="2">
        <v>45767.952905092592</v>
      </c>
      <c r="N235" s="3">
        <v>45767.952905092592</v>
      </c>
      <c r="O235" t="str">
        <f t="shared" si="29"/>
        <v>Apr</v>
      </c>
      <c r="P235" t="str">
        <f t="shared" si="30"/>
        <v>Sun</v>
      </c>
      <c r="Q235" t="str">
        <f t="shared" si="31"/>
        <v>Weekday</v>
      </c>
      <c r="R235">
        <f t="shared" si="32"/>
        <v>22</v>
      </c>
      <c r="S235" t="s">
        <v>529</v>
      </c>
    </row>
    <row r="236" spans="1:19" x14ac:dyDescent="0.25">
      <c r="A236">
        <v>7965</v>
      </c>
      <c r="B236" t="s">
        <v>271</v>
      </c>
      <c r="C236" t="s">
        <v>28</v>
      </c>
      <c r="D236" t="s">
        <v>14</v>
      </c>
      <c r="E236">
        <v>5</v>
      </c>
      <c r="F236" s="4">
        <v>6.64</v>
      </c>
      <c r="G236" s="4" t="str">
        <f t="shared" si="27"/>
        <v>Budget</v>
      </c>
      <c r="H236" s="4">
        <f t="shared" si="33"/>
        <v>3.9839999999999995</v>
      </c>
      <c r="I236">
        <f t="shared" si="28"/>
        <v>33.199999999999996</v>
      </c>
      <c r="J236" s="4">
        <f t="shared" si="34"/>
        <v>29.215999999999998</v>
      </c>
      <c r="K236" s="8">
        <f t="shared" si="35"/>
        <v>0.88</v>
      </c>
      <c r="L236" t="s">
        <v>19</v>
      </c>
      <c r="M236" s="2">
        <v>45769.041493055556</v>
      </c>
      <c r="N236" s="3">
        <v>45769.041493055556</v>
      </c>
      <c r="O236" t="str">
        <f t="shared" si="29"/>
        <v>Apr</v>
      </c>
      <c r="P236" t="str">
        <f t="shared" si="30"/>
        <v>Tue</v>
      </c>
      <c r="Q236" t="str">
        <f t="shared" si="31"/>
        <v>Weekday</v>
      </c>
      <c r="R236">
        <f t="shared" si="32"/>
        <v>0</v>
      </c>
      <c r="S236" t="s">
        <v>527</v>
      </c>
    </row>
    <row r="237" spans="1:19" x14ac:dyDescent="0.25">
      <c r="A237">
        <v>4390</v>
      </c>
      <c r="B237" t="s">
        <v>36</v>
      </c>
      <c r="C237" t="s">
        <v>37</v>
      </c>
      <c r="D237" t="s">
        <v>10</v>
      </c>
      <c r="E237">
        <v>1</v>
      </c>
      <c r="F237" s="4">
        <v>4.84</v>
      </c>
      <c r="G237" s="4" t="str">
        <f t="shared" si="27"/>
        <v>Budget</v>
      </c>
      <c r="H237" s="4">
        <f t="shared" si="33"/>
        <v>2.9039999999999999</v>
      </c>
      <c r="I237">
        <f t="shared" si="28"/>
        <v>4.84</v>
      </c>
      <c r="J237" s="4">
        <f t="shared" si="34"/>
        <v>1.9359999999999999</v>
      </c>
      <c r="K237" s="8">
        <f t="shared" si="35"/>
        <v>0.4</v>
      </c>
      <c r="L237" t="s">
        <v>11</v>
      </c>
      <c r="M237" s="2">
        <v>45769.109884259262</v>
      </c>
      <c r="N237" s="3">
        <v>45769.109884259262</v>
      </c>
      <c r="O237" t="str">
        <f t="shared" si="29"/>
        <v>Apr</v>
      </c>
      <c r="P237" t="str">
        <f t="shared" si="30"/>
        <v>Tue</v>
      </c>
      <c r="Q237" t="str">
        <f t="shared" si="31"/>
        <v>Weekday</v>
      </c>
      <c r="R237">
        <f t="shared" si="32"/>
        <v>2</v>
      </c>
      <c r="S237" t="s">
        <v>527</v>
      </c>
    </row>
    <row r="238" spans="1:19" x14ac:dyDescent="0.25">
      <c r="A238">
        <v>8612</v>
      </c>
      <c r="B238" t="s">
        <v>99</v>
      </c>
      <c r="C238" t="s">
        <v>35</v>
      </c>
      <c r="D238" t="s">
        <v>22</v>
      </c>
      <c r="E238">
        <v>4</v>
      </c>
      <c r="F238" s="4">
        <v>6.95</v>
      </c>
      <c r="G238" s="4" t="str">
        <f t="shared" si="27"/>
        <v>Budget</v>
      </c>
      <c r="H238" s="4">
        <f t="shared" si="33"/>
        <v>4.17</v>
      </c>
      <c r="I238">
        <f t="shared" si="28"/>
        <v>27.8</v>
      </c>
      <c r="J238" s="4">
        <f t="shared" si="34"/>
        <v>23.630000000000003</v>
      </c>
      <c r="K238" s="8">
        <f t="shared" si="35"/>
        <v>0.85000000000000009</v>
      </c>
      <c r="L238" t="s">
        <v>17</v>
      </c>
      <c r="M238" s="2">
        <v>45769.377187500002</v>
      </c>
      <c r="N238" s="3">
        <v>45769.377187500002</v>
      </c>
      <c r="O238" t="str">
        <f t="shared" si="29"/>
        <v>Apr</v>
      </c>
      <c r="P238" t="str">
        <f t="shared" si="30"/>
        <v>Tue</v>
      </c>
      <c r="Q238" t="str">
        <f t="shared" si="31"/>
        <v>Weekday</v>
      </c>
      <c r="R238">
        <f t="shared" si="32"/>
        <v>9</v>
      </c>
      <c r="S238" t="s">
        <v>527</v>
      </c>
    </row>
    <row r="239" spans="1:19" x14ac:dyDescent="0.25">
      <c r="A239">
        <v>8544</v>
      </c>
      <c r="B239" t="s">
        <v>257</v>
      </c>
      <c r="C239" t="s">
        <v>33</v>
      </c>
      <c r="D239" t="s">
        <v>14</v>
      </c>
      <c r="E239">
        <v>2</v>
      </c>
      <c r="F239" s="4">
        <v>6.19</v>
      </c>
      <c r="G239" s="4" t="str">
        <f t="shared" si="27"/>
        <v>Budget</v>
      </c>
      <c r="H239" s="4">
        <f t="shared" si="33"/>
        <v>3.714</v>
      </c>
      <c r="I239">
        <f t="shared" si="28"/>
        <v>12.38</v>
      </c>
      <c r="J239" s="4">
        <f t="shared" si="34"/>
        <v>8.6660000000000004</v>
      </c>
      <c r="K239" s="8">
        <f t="shared" si="35"/>
        <v>0.7</v>
      </c>
      <c r="L239" t="s">
        <v>19</v>
      </c>
      <c r="M239" s="2">
        <v>45769.584814814814</v>
      </c>
      <c r="N239" s="3">
        <v>45769.584814814814</v>
      </c>
      <c r="O239" t="str">
        <f t="shared" si="29"/>
        <v>Apr</v>
      </c>
      <c r="P239" t="str">
        <f t="shared" si="30"/>
        <v>Tue</v>
      </c>
      <c r="Q239" t="str">
        <f t="shared" si="31"/>
        <v>Weekday</v>
      </c>
      <c r="R239">
        <f t="shared" si="32"/>
        <v>14</v>
      </c>
      <c r="S239" t="s">
        <v>528</v>
      </c>
    </row>
    <row r="240" spans="1:19" x14ac:dyDescent="0.25">
      <c r="A240">
        <v>2857</v>
      </c>
      <c r="B240" t="s">
        <v>42</v>
      </c>
      <c r="C240" t="s">
        <v>40</v>
      </c>
      <c r="D240" t="s">
        <v>22</v>
      </c>
      <c r="E240">
        <v>4</v>
      </c>
      <c r="F240" s="4">
        <v>4.72</v>
      </c>
      <c r="G240" s="4" t="str">
        <f t="shared" si="27"/>
        <v>Budget</v>
      </c>
      <c r="H240" s="4">
        <f t="shared" si="33"/>
        <v>2.8319999999999999</v>
      </c>
      <c r="I240">
        <f t="shared" si="28"/>
        <v>18.88</v>
      </c>
      <c r="J240" s="4">
        <f t="shared" si="34"/>
        <v>16.047999999999998</v>
      </c>
      <c r="K240" s="8">
        <f t="shared" si="35"/>
        <v>0.85</v>
      </c>
      <c r="L240" t="s">
        <v>15</v>
      </c>
      <c r="M240" s="2">
        <v>45769.821689814817</v>
      </c>
      <c r="N240" s="3">
        <v>45769.821689814817</v>
      </c>
      <c r="O240" t="str">
        <f t="shared" si="29"/>
        <v>Apr</v>
      </c>
      <c r="P240" t="str">
        <f t="shared" si="30"/>
        <v>Tue</v>
      </c>
      <c r="Q240" t="str">
        <f t="shared" si="31"/>
        <v>Weekday</v>
      </c>
      <c r="R240">
        <f t="shared" si="32"/>
        <v>19</v>
      </c>
      <c r="S240" t="s">
        <v>529</v>
      </c>
    </row>
    <row r="241" spans="1:19" x14ac:dyDescent="0.25">
      <c r="A241">
        <v>9737</v>
      </c>
      <c r="B241" t="s">
        <v>384</v>
      </c>
      <c r="C241" t="s">
        <v>40</v>
      </c>
      <c r="D241" t="s">
        <v>22</v>
      </c>
      <c r="E241">
        <v>1</v>
      </c>
      <c r="F241" s="4">
        <v>9.07</v>
      </c>
      <c r="G241" s="4" t="str">
        <f t="shared" si="27"/>
        <v>Budget</v>
      </c>
      <c r="H241" s="4">
        <f t="shared" si="33"/>
        <v>5.4420000000000002</v>
      </c>
      <c r="I241">
        <f t="shared" si="28"/>
        <v>9.07</v>
      </c>
      <c r="J241" s="4">
        <f t="shared" si="34"/>
        <v>3.6280000000000001</v>
      </c>
      <c r="K241" s="8">
        <f t="shared" si="35"/>
        <v>0.4</v>
      </c>
      <c r="L241" t="s">
        <v>17</v>
      </c>
      <c r="M241" s="2">
        <v>45770.275740740741</v>
      </c>
      <c r="N241" s="3">
        <v>45770.275740740741</v>
      </c>
      <c r="O241" t="str">
        <f t="shared" si="29"/>
        <v>Apr</v>
      </c>
      <c r="P241" t="str">
        <f t="shared" si="30"/>
        <v>Wed</v>
      </c>
      <c r="Q241" t="str">
        <f t="shared" si="31"/>
        <v>Weekday</v>
      </c>
      <c r="R241">
        <f t="shared" si="32"/>
        <v>6</v>
      </c>
      <c r="S241" t="s">
        <v>527</v>
      </c>
    </row>
    <row r="242" spans="1:19" x14ac:dyDescent="0.25">
      <c r="A242">
        <v>4827</v>
      </c>
      <c r="B242" t="s">
        <v>123</v>
      </c>
      <c r="C242" t="s">
        <v>21</v>
      </c>
      <c r="D242" t="s">
        <v>22</v>
      </c>
      <c r="E242">
        <v>2</v>
      </c>
      <c r="F242" s="4">
        <v>13.38</v>
      </c>
      <c r="G242" s="4" t="str">
        <f t="shared" si="27"/>
        <v>Mid-Range</v>
      </c>
      <c r="H242" s="4">
        <f t="shared" si="33"/>
        <v>8.0280000000000005</v>
      </c>
      <c r="I242">
        <f t="shared" si="28"/>
        <v>26.76</v>
      </c>
      <c r="J242" s="4">
        <f t="shared" si="34"/>
        <v>18.731999999999999</v>
      </c>
      <c r="K242" s="8">
        <f t="shared" si="35"/>
        <v>0.7</v>
      </c>
      <c r="L242" t="s">
        <v>15</v>
      </c>
      <c r="M242" s="2">
        <v>45770.804537037038</v>
      </c>
      <c r="N242" s="3">
        <v>45770.804537037038</v>
      </c>
      <c r="O242" t="str">
        <f t="shared" si="29"/>
        <v>Apr</v>
      </c>
      <c r="P242" t="str">
        <f t="shared" si="30"/>
        <v>Wed</v>
      </c>
      <c r="Q242" t="str">
        <f t="shared" si="31"/>
        <v>Weekday</v>
      </c>
      <c r="R242">
        <f t="shared" si="32"/>
        <v>19</v>
      </c>
      <c r="S242" t="s">
        <v>529</v>
      </c>
    </row>
    <row r="243" spans="1:19" x14ac:dyDescent="0.25">
      <c r="A243">
        <v>7981</v>
      </c>
      <c r="B243" t="s">
        <v>395</v>
      </c>
      <c r="C243" t="s">
        <v>35</v>
      </c>
      <c r="D243" t="s">
        <v>22</v>
      </c>
      <c r="E243">
        <v>5</v>
      </c>
      <c r="F243" s="4">
        <v>9.07</v>
      </c>
      <c r="G243" s="4" t="str">
        <f t="shared" si="27"/>
        <v>Budget</v>
      </c>
      <c r="H243" s="4">
        <f t="shared" si="33"/>
        <v>5.4420000000000002</v>
      </c>
      <c r="I243">
        <f t="shared" si="28"/>
        <v>45.35</v>
      </c>
      <c r="J243" s="4">
        <f t="shared" si="34"/>
        <v>39.908000000000001</v>
      </c>
      <c r="K243" s="8">
        <f t="shared" si="35"/>
        <v>0.88</v>
      </c>
      <c r="L243" t="s">
        <v>17</v>
      </c>
      <c r="M243" s="2">
        <v>45771.025416666664</v>
      </c>
      <c r="N243" s="3">
        <v>45771.025416666664</v>
      </c>
      <c r="O243" t="str">
        <f t="shared" si="29"/>
        <v>Apr</v>
      </c>
      <c r="P243" t="str">
        <f t="shared" si="30"/>
        <v>Thu</v>
      </c>
      <c r="Q243" t="str">
        <f t="shared" si="31"/>
        <v>Weekday</v>
      </c>
      <c r="R243">
        <f t="shared" si="32"/>
        <v>0</v>
      </c>
      <c r="S243" t="s">
        <v>527</v>
      </c>
    </row>
    <row r="244" spans="1:19" x14ac:dyDescent="0.25">
      <c r="A244">
        <v>4060</v>
      </c>
      <c r="B244" t="s">
        <v>371</v>
      </c>
      <c r="C244" t="s">
        <v>33</v>
      </c>
      <c r="D244" t="s">
        <v>14</v>
      </c>
      <c r="E244">
        <v>4</v>
      </c>
      <c r="F244" s="4">
        <v>13.71</v>
      </c>
      <c r="G244" s="4" t="str">
        <f t="shared" si="27"/>
        <v>Mid-Range</v>
      </c>
      <c r="H244" s="4">
        <f t="shared" si="33"/>
        <v>8.2260000000000009</v>
      </c>
      <c r="I244">
        <f t="shared" si="28"/>
        <v>54.84</v>
      </c>
      <c r="J244" s="4">
        <f t="shared" si="34"/>
        <v>46.614000000000004</v>
      </c>
      <c r="K244" s="8">
        <f t="shared" si="35"/>
        <v>0.85</v>
      </c>
      <c r="L244" t="s">
        <v>19</v>
      </c>
      <c r="M244" s="2">
        <v>45771.219826388886</v>
      </c>
      <c r="N244" s="3">
        <v>45771.219826388886</v>
      </c>
      <c r="O244" t="str">
        <f t="shared" si="29"/>
        <v>Apr</v>
      </c>
      <c r="P244" t="str">
        <f t="shared" si="30"/>
        <v>Thu</v>
      </c>
      <c r="Q244" t="str">
        <f t="shared" si="31"/>
        <v>Weekday</v>
      </c>
      <c r="R244">
        <f t="shared" si="32"/>
        <v>5</v>
      </c>
      <c r="S244" t="s">
        <v>527</v>
      </c>
    </row>
    <row r="245" spans="1:19" x14ac:dyDescent="0.25">
      <c r="A245">
        <v>4002</v>
      </c>
      <c r="B245" t="s">
        <v>482</v>
      </c>
      <c r="C245" t="s">
        <v>33</v>
      </c>
      <c r="D245" t="s">
        <v>14</v>
      </c>
      <c r="E245">
        <v>4</v>
      </c>
      <c r="F245" s="4">
        <v>12.85</v>
      </c>
      <c r="G245" s="4" t="str">
        <f t="shared" si="27"/>
        <v>Mid-Range</v>
      </c>
      <c r="H245" s="4">
        <f t="shared" si="33"/>
        <v>7.7099999999999991</v>
      </c>
      <c r="I245">
        <f t="shared" si="28"/>
        <v>51.4</v>
      </c>
      <c r="J245" s="4">
        <f t="shared" si="34"/>
        <v>43.69</v>
      </c>
      <c r="K245" s="8">
        <f t="shared" si="35"/>
        <v>0.85</v>
      </c>
      <c r="L245" t="s">
        <v>17</v>
      </c>
      <c r="M245" s="2">
        <v>45771.402800925927</v>
      </c>
      <c r="N245" s="3">
        <v>45771.402800925927</v>
      </c>
      <c r="O245" t="str">
        <f t="shared" si="29"/>
        <v>Apr</v>
      </c>
      <c r="P245" t="str">
        <f t="shared" si="30"/>
        <v>Thu</v>
      </c>
      <c r="Q245" t="str">
        <f t="shared" si="31"/>
        <v>Weekday</v>
      </c>
      <c r="R245">
        <f t="shared" si="32"/>
        <v>9</v>
      </c>
      <c r="S245" t="s">
        <v>527</v>
      </c>
    </row>
    <row r="246" spans="1:19" x14ac:dyDescent="0.25">
      <c r="A246">
        <v>7930</v>
      </c>
      <c r="B246" t="s">
        <v>80</v>
      </c>
      <c r="C246" t="s">
        <v>13</v>
      </c>
      <c r="D246" t="s">
        <v>14</v>
      </c>
      <c r="E246">
        <v>3</v>
      </c>
      <c r="F246" s="4">
        <v>15.07</v>
      </c>
      <c r="G246" s="4" t="str">
        <f t="shared" si="27"/>
        <v>Mid-Range</v>
      </c>
      <c r="H246" s="4">
        <f t="shared" si="33"/>
        <v>9.0419999999999998</v>
      </c>
      <c r="I246">
        <f t="shared" si="28"/>
        <v>45.21</v>
      </c>
      <c r="J246" s="4">
        <f t="shared" si="34"/>
        <v>36.167999999999999</v>
      </c>
      <c r="K246" s="8">
        <f t="shared" si="35"/>
        <v>0.79999999999999993</v>
      </c>
      <c r="L246" t="s">
        <v>11</v>
      </c>
      <c r="M246" s="2">
        <v>45771.518877314818</v>
      </c>
      <c r="N246" s="3">
        <v>45771.518877314818</v>
      </c>
      <c r="O246" t="str">
        <f t="shared" si="29"/>
        <v>Apr</v>
      </c>
      <c r="P246" t="str">
        <f t="shared" si="30"/>
        <v>Thu</v>
      </c>
      <c r="Q246" t="str">
        <f t="shared" si="31"/>
        <v>Weekday</v>
      </c>
      <c r="R246">
        <f t="shared" si="32"/>
        <v>12</v>
      </c>
      <c r="S246" t="s">
        <v>528</v>
      </c>
    </row>
    <row r="247" spans="1:19" x14ac:dyDescent="0.25">
      <c r="A247">
        <v>3188</v>
      </c>
      <c r="B247" t="s">
        <v>296</v>
      </c>
      <c r="C247" t="s">
        <v>21</v>
      </c>
      <c r="D247" t="s">
        <v>22</v>
      </c>
      <c r="E247">
        <v>4</v>
      </c>
      <c r="F247" s="4">
        <v>11.67</v>
      </c>
      <c r="G247" s="4" t="str">
        <f t="shared" si="27"/>
        <v>Mid-Range</v>
      </c>
      <c r="H247" s="4">
        <f t="shared" si="33"/>
        <v>7.0019999999999998</v>
      </c>
      <c r="I247">
        <f t="shared" si="28"/>
        <v>46.68</v>
      </c>
      <c r="J247" s="4">
        <f t="shared" si="34"/>
        <v>39.677999999999997</v>
      </c>
      <c r="K247" s="8">
        <f t="shared" si="35"/>
        <v>0.85</v>
      </c>
      <c r="L247" t="s">
        <v>15</v>
      </c>
      <c r="M247" s="2">
        <v>45771.609293981484</v>
      </c>
      <c r="N247" s="3">
        <v>45771.609293981484</v>
      </c>
      <c r="O247" t="str">
        <f t="shared" si="29"/>
        <v>Apr</v>
      </c>
      <c r="P247" t="str">
        <f t="shared" si="30"/>
        <v>Thu</v>
      </c>
      <c r="Q247" t="str">
        <f t="shared" si="31"/>
        <v>Weekday</v>
      </c>
      <c r="R247">
        <f t="shared" si="32"/>
        <v>14</v>
      </c>
      <c r="S247" t="s">
        <v>528</v>
      </c>
    </row>
    <row r="248" spans="1:19" x14ac:dyDescent="0.25">
      <c r="A248">
        <v>3769</v>
      </c>
      <c r="B248" t="s">
        <v>200</v>
      </c>
      <c r="C248" t="s">
        <v>13</v>
      </c>
      <c r="D248" t="s">
        <v>14</v>
      </c>
      <c r="E248">
        <v>1</v>
      </c>
      <c r="F248" s="4">
        <v>20.54</v>
      </c>
      <c r="G248" s="4" t="str">
        <f t="shared" si="27"/>
        <v>Premium</v>
      </c>
      <c r="H248" s="4">
        <f t="shared" si="33"/>
        <v>12.324</v>
      </c>
      <c r="I248">
        <f t="shared" si="28"/>
        <v>20.54</v>
      </c>
      <c r="J248" s="4">
        <f t="shared" si="34"/>
        <v>8.2159999999999993</v>
      </c>
      <c r="K248" s="8">
        <f t="shared" si="35"/>
        <v>0.39999999999999997</v>
      </c>
      <c r="L248" t="s">
        <v>15</v>
      </c>
      <c r="M248" s="2">
        <v>45773.696226851855</v>
      </c>
      <c r="N248" s="3">
        <v>45773.696226851855</v>
      </c>
      <c r="O248" t="str">
        <f t="shared" si="29"/>
        <v>Apr</v>
      </c>
      <c r="P248" t="str">
        <f t="shared" si="30"/>
        <v>Sat</v>
      </c>
      <c r="Q248" t="str">
        <f t="shared" si="31"/>
        <v>Weekend</v>
      </c>
      <c r="R248">
        <f t="shared" si="32"/>
        <v>16</v>
      </c>
      <c r="S248" t="s">
        <v>528</v>
      </c>
    </row>
    <row r="249" spans="1:19" x14ac:dyDescent="0.25">
      <c r="A249">
        <v>1595</v>
      </c>
      <c r="B249" t="s">
        <v>478</v>
      </c>
      <c r="C249" t="s">
        <v>28</v>
      </c>
      <c r="D249" t="s">
        <v>14</v>
      </c>
      <c r="E249">
        <v>5</v>
      </c>
      <c r="F249" s="4">
        <v>19.21</v>
      </c>
      <c r="G249" s="4" t="str">
        <f t="shared" si="27"/>
        <v>Mid-Range</v>
      </c>
      <c r="H249" s="4">
        <f t="shared" si="33"/>
        <v>11.526</v>
      </c>
      <c r="I249">
        <f t="shared" si="28"/>
        <v>96.050000000000011</v>
      </c>
      <c r="J249" s="4">
        <f t="shared" si="34"/>
        <v>84.524000000000015</v>
      </c>
      <c r="K249" s="8">
        <f t="shared" si="35"/>
        <v>0.88</v>
      </c>
      <c r="L249" t="s">
        <v>11</v>
      </c>
      <c r="M249" s="2">
        <v>45774.338958333334</v>
      </c>
      <c r="N249" s="3">
        <v>45774.338958333334</v>
      </c>
      <c r="O249" t="str">
        <f t="shared" si="29"/>
        <v>Apr</v>
      </c>
      <c r="P249" t="str">
        <f t="shared" si="30"/>
        <v>Sun</v>
      </c>
      <c r="Q249" t="str">
        <f t="shared" si="31"/>
        <v>Weekday</v>
      </c>
      <c r="R249">
        <f t="shared" si="32"/>
        <v>8</v>
      </c>
      <c r="S249" t="s">
        <v>527</v>
      </c>
    </row>
    <row r="250" spans="1:19" x14ac:dyDescent="0.25">
      <c r="A250">
        <v>5509</v>
      </c>
      <c r="B250" t="s">
        <v>349</v>
      </c>
      <c r="C250" t="s">
        <v>37</v>
      </c>
      <c r="D250" t="s">
        <v>10</v>
      </c>
      <c r="E250">
        <v>3</v>
      </c>
      <c r="F250" s="4">
        <v>17.18</v>
      </c>
      <c r="G250" s="4" t="str">
        <f t="shared" si="27"/>
        <v>Mid-Range</v>
      </c>
      <c r="H250" s="4">
        <f t="shared" si="33"/>
        <v>10.308</v>
      </c>
      <c r="I250">
        <f t="shared" si="28"/>
        <v>51.54</v>
      </c>
      <c r="J250" s="4">
        <f t="shared" si="34"/>
        <v>41.231999999999999</v>
      </c>
      <c r="K250" s="8">
        <f t="shared" si="35"/>
        <v>0.8</v>
      </c>
      <c r="L250" t="s">
        <v>17</v>
      </c>
      <c r="M250" s="2">
        <v>45774.48878472222</v>
      </c>
      <c r="N250" s="3">
        <v>45774.48878472222</v>
      </c>
      <c r="O250" t="str">
        <f t="shared" si="29"/>
        <v>Apr</v>
      </c>
      <c r="P250" t="str">
        <f t="shared" si="30"/>
        <v>Sun</v>
      </c>
      <c r="Q250" t="str">
        <f t="shared" si="31"/>
        <v>Weekday</v>
      </c>
      <c r="R250">
        <f t="shared" si="32"/>
        <v>11</v>
      </c>
      <c r="S250" t="s">
        <v>527</v>
      </c>
    </row>
    <row r="251" spans="1:19" x14ac:dyDescent="0.25">
      <c r="A251">
        <v>7240</v>
      </c>
      <c r="B251" t="s">
        <v>158</v>
      </c>
      <c r="C251" t="s">
        <v>33</v>
      </c>
      <c r="D251" t="s">
        <v>14</v>
      </c>
      <c r="E251">
        <v>4</v>
      </c>
      <c r="F251" s="4">
        <v>19.190000000000001</v>
      </c>
      <c r="G251" s="4" t="str">
        <f t="shared" si="27"/>
        <v>Mid-Range</v>
      </c>
      <c r="H251" s="4">
        <f t="shared" si="33"/>
        <v>11.514000000000001</v>
      </c>
      <c r="I251">
        <f t="shared" si="28"/>
        <v>76.760000000000005</v>
      </c>
      <c r="J251" s="4">
        <f t="shared" si="34"/>
        <v>65.246000000000009</v>
      </c>
      <c r="K251" s="8">
        <f t="shared" si="35"/>
        <v>0.85000000000000009</v>
      </c>
      <c r="L251" t="s">
        <v>19</v>
      </c>
      <c r="M251" s="2">
        <v>45774.835486111115</v>
      </c>
      <c r="N251" s="3">
        <v>45774.835486111115</v>
      </c>
      <c r="O251" t="str">
        <f t="shared" si="29"/>
        <v>Apr</v>
      </c>
      <c r="P251" t="str">
        <f t="shared" si="30"/>
        <v>Sun</v>
      </c>
      <c r="Q251" t="str">
        <f t="shared" si="31"/>
        <v>Weekday</v>
      </c>
      <c r="R251">
        <f t="shared" si="32"/>
        <v>20</v>
      </c>
      <c r="S251" t="s">
        <v>529</v>
      </c>
    </row>
    <row r="252" spans="1:19" x14ac:dyDescent="0.25">
      <c r="A252">
        <v>4718</v>
      </c>
      <c r="B252" t="s">
        <v>462</v>
      </c>
      <c r="C252" t="s">
        <v>37</v>
      </c>
      <c r="D252" t="s">
        <v>10</v>
      </c>
      <c r="E252">
        <v>1</v>
      </c>
      <c r="F252" s="4">
        <v>5.1100000000000003</v>
      </c>
      <c r="G252" s="4" t="str">
        <f t="shared" si="27"/>
        <v>Budget</v>
      </c>
      <c r="H252" s="4">
        <f t="shared" si="33"/>
        <v>3.0660000000000003</v>
      </c>
      <c r="I252">
        <f t="shared" si="28"/>
        <v>5.1100000000000003</v>
      </c>
      <c r="J252" s="4">
        <f t="shared" si="34"/>
        <v>2.044</v>
      </c>
      <c r="K252" s="8">
        <f t="shared" si="35"/>
        <v>0.39999999999999997</v>
      </c>
      <c r="L252" t="s">
        <v>17</v>
      </c>
      <c r="M252" s="2">
        <v>45775.148796296293</v>
      </c>
      <c r="N252" s="3">
        <v>45775.148796296293</v>
      </c>
      <c r="O252" t="str">
        <f t="shared" si="29"/>
        <v>Apr</v>
      </c>
      <c r="P252" t="str">
        <f t="shared" si="30"/>
        <v>Mon</v>
      </c>
      <c r="Q252" t="str">
        <f t="shared" si="31"/>
        <v>Weekday</v>
      </c>
      <c r="R252">
        <f t="shared" si="32"/>
        <v>3</v>
      </c>
      <c r="S252" t="s">
        <v>527</v>
      </c>
    </row>
    <row r="253" spans="1:19" x14ac:dyDescent="0.25">
      <c r="A253">
        <v>8018</v>
      </c>
      <c r="B253" t="s">
        <v>29</v>
      </c>
      <c r="C253" t="s">
        <v>30</v>
      </c>
      <c r="D253" t="s">
        <v>10</v>
      </c>
      <c r="E253">
        <v>5</v>
      </c>
      <c r="F253" s="4">
        <v>11.79</v>
      </c>
      <c r="G253" s="4" t="str">
        <f t="shared" si="27"/>
        <v>Mid-Range</v>
      </c>
      <c r="H253" s="4">
        <f t="shared" si="33"/>
        <v>7.073999999999999</v>
      </c>
      <c r="I253">
        <f t="shared" si="28"/>
        <v>58.949999999999996</v>
      </c>
      <c r="J253" s="4">
        <f t="shared" si="34"/>
        <v>51.875999999999998</v>
      </c>
      <c r="K253" s="8">
        <f t="shared" si="35"/>
        <v>0.88</v>
      </c>
      <c r="L253" t="s">
        <v>15</v>
      </c>
      <c r="M253" s="2">
        <v>45775.339803240742</v>
      </c>
      <c r="N253" s="3">
        <v>45775.339803240742</v>
      </c>
      <c r="O253" t="str">
        <f t="shared" si="29"/>
        <v>Apr</v>
      </c>
      <c r="P253" t="str">
        <f t="shared" si="30"/>
        <v>Mon</v>
      </c>
      <c r="Q253" t="str">
        <f t="shared" si="31"/>
        <v>Weekday</v>
      </c>
      <c r="R253">
        <f t="shared" si="32"/>
        <v>8</v>
      </c>
      <c r="S253" t="s">
        <v>527</v>
      </c>
    </row>
    <row r="254" spans="1:19" x14ac:dyDescent="0.25">
      <c r="A254">
        <v>5409</v>
      </c>
      <c r="B254" t="s">
        <v>32</v>
      </c>
      <c r="C254" t="s">
        <v>33</v>
      </c>
      <c r="D254" t="s">
        <v>14</v>
      </c>
      <c r="E254">
        <v>5</v>
      </c>
      <c r="F254" s="4">
        <v>4.7699999999999996</v>
      </c>
      <c r="G254" s="4" t="str">
        <f t="shared" si="27"/>
        <v>Budget</v>
      </c>
      <c r="H254" s="4">
        <f t="shared" si="33"/>
        <v>2.8619999999999997</v>
      </c>
      <c r="I254">
        <f t="shared" si="28"/>
        <v>23.849999999999998</v>
      </c>
      <c r="J254" s="4">
        <f t="shared" si="34"/>
        <v>20.988</v>
      </c>
      <c r="K254" s="8">
        <f t="shared" si="35"/>
        <v>0.88</v>
      </c>
      <c r="L254" t="s">
        <v>11</v>
      </c>
      <c r="M254" s="2">
        <v>45775.355717592596</v>
      </c>
      <c r="N254" s="3">
        <v>45775.355717592596</v>
      </c>
      <c r="O254" t="str">
        <f t="shared" si="29"/>
        <v>Apr</v>
      </c>
      <c r="P254" t="str">
        <f t="shared" si="30"/>
        <v>Mon</v>
      </c>
      <c r="Q254" t="str">
        <f t="shared" si="31"/>
        <v>Weekday</v>
      </c>
      <c r="R254">
        <f t="shared" si="32"/>
        <v>8</v>
      </c>
      <c r="S254" t="s">
        <v>527</v>
      </c>
    </row>
    <row r="255" spans="1:19" x14ac:dyDescent="0.25">
      <c r="A255">
        <v>7476</v>
      </c>
      <c r="B255" t="s">
        <v>424</v>
      </c>
      <c r="C255" t="s">
        <v>40</v>
      </c>
      <c r="D255" t="s">
        <v>22</v>
      </c>
      <c r="E255">
        <v>4</v>
      </c>
      <c r="F255" s="4">
        <v>22.46</v>
      </c>
      <c r="G255" s="4" t="str">
        <f t="shared" si="27"/>
        <v>Premium</v>
      </c>
      <c r="H255" s="4">
        <f t="shared" si="33"/>
        <v>13.476000000000001</v>
      </c>
      <c r="I255">
        <f t="shared" si="28"/>
        <v>89.84</v>
      </c>
      <c r="J255" s="4">
        <f t="shared" si="34"/>
        <v>76.364000000000004</v>
      </c>
      <c r="K255" s="8">
        <f t="shared" si="35"/>
        <v>0.85</v>
      </c>
      <c r="L255" t="s">
        <v>11</v>
      </c>
      <c r="M255" s="2">
        <v>45775.85083333333</v>
      </c>
      <c r="N255" s="3">
        <v>45775.85083333333</v>
      </c>
      <c r="O255" t="str">
        <f t="shared" si="29"/>
        <v>Apr</v>
      </c>
      <c r="P255" t="str">
        <f t="shared" si="30"/>
        <v>Mon</v>
      </c>
      <c r="Q255" t="str">
        <f t="shared" si="31"/>
        <v>Weekday</v>
      </c>
      <c r="R255">
        <f t="shared" si="32"/>
        <v>20</v>
      </c>
      <c r="S255" t="s">
        <v>529</v>
      </c>
    </row>
    <row r="256" spans="1:19" x14ac:dyDescent="0.25">
      <c r="A256">
        <v>1708</v>
      </c>
      <c r="B256" t="s">
        <v>397</v>
      </c>
      <c r="C256" t="s">
        <v>30</v>
      </c>
      <c r="D256" t="s">
        <v>10</v>
      </c>
      <c r="E256">
        <v>1</v>
      </c>
      <c r="F256" s="4">
        <v>8.1300000000000008</v>
      </c>
      <c r="G256" s="4" t="str">
        <f t="shared" si="27"/>
        <v>Budget</v>
      </c>
      <c r="H256" s="4">
        <f t="shared" si="33"/>
        <v>4.8780000000000001</v>
      </c>
      <c r="I256">
        <f t="shared" si="28"/>
        <v>8.1300000000000008</v>
      </c>
      <c r="J256" s="4">
        <f t="shared" si="34"/>
        <v>3.2520000000000007</v>
      </c>
      <c r="K256" s="8">
        <f t="shared" si="35"/>
        <v>0.4</v>
      </c>
      <c r="L256" t="s">
        <v>19</v>
      </c>
      <c r="M256" s="2">
        <v>45776.412418981483</v>
      </c>
      <c r="N256" s="3">
        <v>45776.412418981483</v>
      </c>
      <c r="O256" t="str">
        <f t="shared" si="29"/>
        <v>Apr</v>
      </c>
      <c r="P256" t="str">
        <f t="shared" si="30"/>
        <v>Tue</v>
      </c>
      <c r="Q256" t="str">
        <f t="shared" si="31"/>
        <v>Weekday</v>
      </c>
      <c r="R256">
        <f t="shared" si="32"/>
        <v>9</v>
      </c>
      <c r="S256" t="s">
        <v>527</v>
      </c>
    </row>
    <row r="257" spans="1:19" x14ac:dyDescent="0.25">
      <c r="A257">
        <v>1947</v>
      </c>
      <c r="B257" t="s">
        <v>246</v>
      </c>
      <c r="C257" t="s">
        <v>37</v>
      </c>
      <c r="D257" t="s">
        <v>10</v>
      </c>
      <c r="E257">
        <v>1</v>
      </c>
      <c r="F257" s="4">
        <v>12.15</v>
      </c>
      <c r="G257" s="4" t="str">
        <f t="shared" si="27"/>
        <v>Mid-Range</v>
      </c>
      <c r="H257" s="4">
        <f t="shared" si="33"/>
        <v>7.29</v>
      </c>
      <c r="I257">
        <f t="shared" si="28"/>
        <v>12.15</v>
      </c>
      <c r="J257" s="4">
        <f t="shared" si="34"/>
        <v>4.8600000000000003</v>
      </c>
      <c r="K257" s="8">
        <f t="shared" si="35"/>
        <v>0.4</v>
      </c>
      <c r="L257" t="s">
        <v>19</v>
      </c>
      <c r="M257" s="2">
        <v>45776.438900462963</v>
      </c>
      <c r="N257" s="3">
        <v>45776.438900462963</v>
      </c>
      <c r="O257" t="str">
        <f t="shared" si="29"/>
        <v>Apr</v>
      </c>
      <c r="P257" t="str">
        <f t="shared" si="30"/>
        <v>Tue</v>
      </c>
      <c r="Q257" t="str">
        <f t="shared" si="31"/>
        <v>Weekday</v>
      </c>
      <c r="R257">
        <f t="shared" si="32"/>
        <v>10</v>
      </c>
      <c r="S257" t="s">
        <v>527</v>
      </c>
    </row>
    <row r="258" spans="1:19" x14ac:dyDescent="0.25">
      <c r="A258">
        <v>7489</v>
      </c>
      <c r="B258" t="s">
        <v>214</v>
      </c>
      <c r="C258" t="s">
        <v>40</v>
      </c>
      <c r="D258" t="s">
        <v>22</v>
      </c>
      <c r="E258">
        <v>4</v>
      </c>
      <c r="F258" s="4">
        <v>22.14</v>
      </c>
      <c r="G258" s="4" t="str">
        <f t="shared" ref="G258:G321" si="36">IF(F258&lt;10,"Budget",IF(F258&lt;20,"Mid-Range","Premium"))</f>
        <v>Premium</v>
      </c>
      <c r="H258" s="4">
        <f t="shared" si="33"/>
        <v>13.284000000000001</v>
      </c>
      <c r="I258">
        <f t="shared" ref="I258:I321" si="37">E258 * F258</f>
        <v>88.56</v>
      </c>
      <c r="J258" s="4">
        <f t="shared" si="34"/>
        <v>75.275999999999996</v>
      </c>
      <c r="K258" s="8">
        <f t="shared" si="35"/>
        <v>0.85</v>
      </c>
      <c r="L258" t="s">
        <v>17</v>
      </c>
      <c r="M258" s="2">
        <v>45776.535532407404</v>
      </c>
      <c r="N258" s="3">
        <v>45776.535532407404</v>
      </c>
      <c r="O258" t="str">
        <f t="shared" ref="O258:O321" si="38">TEXT(N258,"MMM")</f>
        <v>Apr</v>
      </c>
      <c r="P258" t="str">
        <f t="shared" ref="P258:P321" si="39">TEXT(M258, "DDD")</f>
        <v>Tue</v>
      </c>
      <c r="Q258" t="str">
        <f t="shared" ref="Q258:Q321" si="40">IF(OR(P258="Fri",P258="Sat"),"Weekend","Weekday")</f>
        <v>Weekday</v>
      </c>
      <c r="R258">
        <f t="shared" ref="R258:R321" si="41">HOUR(N258)</f>
        <v>12</v>
      </c>
      <c r="S258" t="s">
        <v>528</v>
      </c>
    </row>
    <row r="259" spans="1:19" x14ac:dyDescent="0.25">
      <c r="A259">
        <v>1263</v>
      </c>
      <c r="B259" t="s">
        <v>402</v>
      </c>
      <c r="C259" t="s">
        <v>37</v>
      </c>
      <c r="D259" t="s">
        <v>10</v>
      </c>
      <c r="E259">
        <v>1</v>
      </c>
      <c r="F259" s="4">
        <v>19.62</v>
      </c>
      <c r="G259" s="4" t="str">
        <f t="shared" si="36"/>
        <v>Mid-Range</v>
      </c>
      <c r="H259" s="4">
        <f t="shared" ref="H259:H322" si="42">60% * F259</f>
        <v>11.772</v>
      </c>
      <c r="I259">
        <f t="shared" si="37"/>
        <v>19.62</v>
      </c>
      <c r="J259" s="4">
        <f t="shared" ref="J259:J322" si="43">I259 - H259</f>
        <v>7.8480000000000008</v>
      </c>
      <c r="K259" s="8">
        <f t="shared" ref="K259:K322" si="44">J259 / I259</f>
        <v>0.4</v>
      </c>
      <c r="L259" t="s">
        <v>19</v>
      </c>
      <c r="M259" s="2">
        <v>45776.803726851853</v>
      </c>
      <c r="N259" s="3">
        <v>45776.803726851853</v>
      </c>
      <c r="O259" t="str">
        <f t="shared" si="38"/>
        <v>Apr</v>
      </c>
      <c r="P259" t="str">
        <f t="shared" si="39"/>
        <v>Tue</v>
      </c>
      <c r="Q259" t="str">
        <f t="shared" si="40"/>
        <v>Weekday</v>
      </c>
      <c r="R259">
        <f t="shared" si="41"/>
        <v>19</v>
      </c>
      <c r="S259" t="s">
        <v>529</v>
      </c>
    </row>
    <row r="260" spans="1:19" x14ac:dyDescent="0.25">
      <c r="A260">
        <v>2795</v>
      </c>
      <c r="B260" t="s">
        <v>360</v>
      </c>
      <c r="C260" t="s">
        <v>33</v>
      </c>
      <c r="D260" t="s">
        <v>14</v>
      </c>
      <c r="E260">
        <v>1</v>
      </c>
      <c r="F260" s="4">
        <v>4.5999999999999996</v>
      </c>
      <c r="G260" s="4" t="str">
        <f t="shared" si="36"/>
        <v>Budget</v>
      </c>
      <c r="H260" s="4">
        <f t="shared" si="42"/>
        <v>2.76</v>
      </c>
      <c r="I260">
        <f t="shared" si="37"/>
        <v>4.5999999999999996</v>
      </c>
      <c r="J260" s="4">
        <f t="shared" si="43"/>
        <v>1.8399999999999999</v>
      </c>
      <c r="K260" s="8">
        <f t="shared" si="44"/>
        <v>0.4</v>
      </c>
      <c r="L260" t="s">
        <v>11</v>
      </c>
      <c r="M260" s="2">
        <v>45777.153831018521</v>
      </c>
      <c r="N260" s="3">
        <v>45777.153831018521</v>
      </c>
      <c r="O260" t="str">
        <f t="shared" si="38"/>
        <v>Apr</v>
      </c>
      <c r="P260" t="str">
        <f t="shared" si="39"/>
        <v>Wed</v>
      </c>
      <c r="Q260" t="str">
        <f t="shared" si="40"/>
        <v>Weekday</v>
      </c>
      <c r="R260">
        <f t="shared" si="41"/>
        <v>3</v>
      </c>
      <c r="S260" t="s">
        <v>527</v>
      </c>
    </row>
    <row r="261" spans="1:19" x14ac:dyDescent="0.25">
      <c r="A261">
        <v>9913</v>
      </c>
      <c r="B261" t="s">
        <v>468</v>
      </c>
      <c r="C261" t="s">
        <v>35</v>
      </c>
      <c r="D261" t="s">
        <v>22</v>
      </c>
      <c r="E261">
        <v>2</v>
      </c>
      <c r="F261" s="4">
        <v>18.8</v>
      </c>
      <c r="G261" s="4" t="str">
        <f t="shared" si="36"/>
        <v>Mid-Range</v>
      </c>
      <c r="H261" s="4">
        <f t="shared" si="42"/>
        <v>11.28</v>
      </c>
      <c r="I261">
        <f t="shared" si="37"/>
        <v>37.6</v>
      </c>
      <c r="J261" s="4">
        <f t="shared" si="43"/>
        <v>26.32</v>
      </c>
      <c r="K261" s="8">
        <f t="shared" si="44"/>
        <v>0.7</v>
      </c>
      <c r="L261" t="s">
        <v>15</v>
      </c>
      <c r="M261" s="2">
        <v>45777.211643518516</v>
      </c>
      <c r="N261" s="3">
        <v>45777.211643518516</v>
      </c>
      <c r="O261" t="str">
        <f t="shared" si="38"/>
        <v>Apr</v>
      </c>
      <c r="P261" t="str">
        <f t="shared" si="39"/>
        <v>Wed</v>
      </c>
      <c r="Q261" t="str">
        <f t="shared" si="40"/>
        <v>Weekday</v>
      </c>
      <c r="R261">
        <f t="shared" si="41"/>
        <v>5</v>
      </c>
      <c r="S261" t="s">
        <v>527</v>
      </c>
    </row>
    <row r="262" spans="1:19" x14ac:dyDescent="0.25">
      <c r="A262">
        <v>4902</v>
      </c>
      <c r="B262" t="s">
        <v>234</v>
      </c>
      <c r="C262" t="s">
        <v>37</v>
      </c>
      <c r="D262" t="s">
        <v>10</v>
      </c>
      <c r="E262">
        <v>5</v>
      </c>
      <c r="F262" s="4">
        <v>5.38</v>
      </c>
      <c r="G262" s="4" t="str">
        <f t="shared" si="36"/>
        <v>Budget</v>
      </c>
      <c r="H262" s="4">
        <f t="shared" si="42"/>
        <v>3.2279999999999998</v>
      </c>
      <c r="I262">
        <f t="shared" si="37"/>
        <v>26.9</v>
      </c>
      <c r="J262" s="4">
        <f t="shared" si="43"/>
        <v>23.671999999999997</v>
      </c>
      <c r="K262" s="8">
        <f t="shared" si="44"/>
        <v>0.87999999999999989</v>
      </c>
      <c r="L262" t="s">
        <v>15</v>
      </c>
      <c r="M262" s="2">
        <v>45777.389907407407</v>
      </c>
      <c r="N262" s="3">
        <v>45777.389907407407</v>
      </c>
      <c r="O262" t="str">
        <f t="shared" si="38"/>
        <v>Apr</v>
      </c>
      <c r="P262" t="str">
        <f t="shared" si="39"/>
        <v>Wed</v>
      </c>
      <c r="Q262" t="str">
        <f t="shared" si="40"/>
        <v>Weekday</v>
      </c>
      <c r="R262">
        <f t="shared" si="41"/>
        <v>9</v>
      </c>
      <c r="S262" t="s">
        <v>527</v>
      </c>
    </row>
    <row r="263" spans="1:19" x14ac:dyDescent="0.25">
      <c r="A263">
        <v>1878</v>
      </c>
      <c r="B263" t="s">
        <v>295</v>
      </c>
      <c r="C263" t="s">
        <v>37</v>
      </c>
      <c r="D263" t="s">
        <v>10</v>
      </c>
      <c r="E263">
        <v>2</v>
      </c>
      <c r="F263" s="4">
        <v>24.7</v>
      </c>
      <c r="G263" s="4" t="str">
        <f t="shared" si="36"/>
        <v>Premium</v>
      </c>
      <c r="H263" s="4">
        <f t="shared" si="42"/>
        <v>14.819999999999999</v>
      </c>
      <c r="I263">
        <f t="shared" si="37"/>
        <v>49.4</v>
      </c>
      <c r="J263" s="4">
        <f t="shared" si="43"/>
        <v>34.58</v>
      </c>
      <c r="K263" s="8">
        <f t="shared" si="44"/>
        <v>0.7</v>
      </c>
      <c r="L263" t="s">
        <v>15</v>
      </c>
      <c r="M263" s="2">
        <v>45777.887106481481</v>
      </c>
      <c r="N263" s="3">
        <v>45777.887106481481</v>
      </c>
      <c r="O263" t="str">
        <f t="shared" si="38"/>
        <v>Apr</v>
      </c>
      <c r="P263" t="str">
        <f t="shared" si="39"/>
        <v>Wed</v>
      </c>
      <c r="Q263" t="str">
        <f t="shared" si="40"/>
        <v>Weekday</v>
      </c>
      <c r="R263">
        <f t="shared" si="41"/>
        <v>21</v>
      </c>
      <c r="S263" t="s">
        <v>529</v>
      </c>
    </row>
    <row r="264" spans="1:19" x14ac:dyDescent="0.25">
      <c r="A264">
        <v>4142</v>
      </c>
      <c r="B264" t="s">
        <v>70</v>
      </c>
      <c r="C264" t="s">
        <v>33</v>
      </c>
      <c r="D264" t="s">
        <v>14</v>
      </c>
      <c r="E264">
        <v>2</v>
      </c>
      <c r="F264" s="4">
        <v>4.37</v>
      </c>
      <c r="G264" s="4" t="str">
        <f t="shared" si="36"/>
        <v>Budget</v>
      </c>
      <c r="H264" s="4">
        <f t="shared" si="42"/>
        <v>2.6219999999999999</v>
      </c>
      <c r="I264">
        <f t="shared" si="37"/>
        <v>8.74</v>
      </c>
      <c r="J264" s="4">
        <f t="shared" si="43"/>
        <v>6.1180000000000003</v>
      </c>
      <c r="K264" s="8">
        <f t="shared" si="44"/>
        <v>0.70000000000000007</v>
      </c>
      <c r="L264" t="s">
        <v>19</v>
      </c>
      <c r="M264" s="2">
        <v>45778.0703125</v>
      </c>
      <c r="N264" s="3">
        <v>45778.0703125</v>
      </c>
      <c r="O264" t="str">
        <f t="shared" si="38"/>
        <v>May</v>
      </c>
      <c r="P264" t="str">
        <f t="shared" si="39"/>
        <v>Thu</v>
      </c>
      <c r="Q264" t="str">
        <f t="shared" si="40"/>
        <v>Weekday</v>
      </c>
      <c r="R264">
        <f t="shared" si="41"/>
        <v>1</v>
      </c>
      <c r="S264" t="s">
        <v>527</v>
      </c>
    </row>
    <row r="265" spans="1:19" x14ac:dyDescent="0.25">
      <c r="A265">
        <v>2647</v>
      </c>
      <c r="B265" t="s">
        <v>448</v>
      </c>
      <c r="C265" t="s">
        <v>35</v>
      </c>
      <c r="D265" t="s">
        <v>22</v>
      </c>
      <c r="E265">
        <v>4</v>
      </c>
      <c r="F265" s="4">
        <v>21.58</v>
      </c>
      <c r="G265" s="4" t="str">
        <f t="shared" si="36"/>
        <v>Premium</v>
      </c>
      <c r="H265" s="4">
        <f t="shared" si="42"/>
        <v>12.947999999999999</v>
      </c>
      <c r="I265">
        <f t="shared" si="37"/>
        <v>86.32</v>
      </c>
      <c r="J265" s="4">
        <f t="shared" si="43"/>
        <v>73.372</v>
      </c>
      <c r="K265" s="8">
        <f t="shared" si="44"/>
        <v>0.85000000000000009</v>
      </c>
      <c r="L265" t="s">
        <v>15</v>
      </c>
      <c r="M265" s="2">
        <v>45778.515243055554</v>
      </c>
      <c r="N265" s="3">
        <v>45778.515243055554</v>
      </c>
      <c r="O265" t="str">
        <f t="shared" si="38"/>
        <v>May</v>
      </c>
      <c r="P265" t="str">
        <f t="shared" si="39"/>
        <v>Thu</v>
      </c>
      <c r="Q265" t="str">
        <f t="shared" si="40"/>
        <v>Weekday</v>
      </c>
      <c r="R265">
        <f t="shared" si="41"/>
        <v>12</v>
      </c>
      <c r="S265" t="s">
        <v>528</v>
      </c>
    </row>
    <row r="266" spans="1:19" x14ac:dyDescent="0.25">
      <c r="A266">
        <v>9855</v>
      </c>
      <c r="B266" t="s">
        <v>461</v>
      </c>
      <c r="C266" t="s">
        <v>13</v>
      </c>
      <c r="D266" t="s">
        <v>14</v>
      </c>
      <c r="E266">
        <v>5</v>
      </c>
      <c r="F266" s="4">
        <v>3.58</v>
      </c>
      <c r="G266" s="4" t="str">
        <f t="shared" si="36"/>
        <v>Budget</v>
      </c>
      <c r="H266" s="4">
        <f t="shared" si="42"/>
        <v>2.1480000000000001</v>
      </c>
      <c r="I266">
        <f t="shared" si="37"/>
        <v>17.899999999999999</v>
      </c>
      <c r="J266" s="4">
        <f t="shared" si="43"/>
        <v>15.751999999999999</v>
      </c>
      <c r="K266" s="8">
        <f t="shared" si="44"/>
        <v>0.88</v>
      </c>
      <c r="L266" t="s">
        <v>17</v>
      </c>
      <c r="M266" s="2">
        <v>45779.327164351853</v>
      </c>
      <c r="N266" s="3">
        <v>45779.327164351853</v>
      </c>
      <c r="O266" t="str">
        <f t="shared" si="38"/>
        <v>May</v>
      </c>
      <c r="P266" t="str">
        <f t="shared" si="39"/>
        <v>Fri</v>
      </c>
      <c r="Q266" t="str">
        <f t="shared" si="40"/>
        <v>Weekend</v>
      </c>
      <c r="R266">
        <f t="shared" si="41"/>
        <v>7</v>
      </c>
      <c r="S266" t="s">
        <v>527</v>
      </c>
    </row>
    <row r="267" spans="1:19" x14ac:dyDescent="0.25">
      <c r="A267">
        <v>5416</v>
      </c>
      <c r="B267" t="s">
        <v>435</v>
      </c>
      <c r="C267" t="s">
        <v>13</v>
      </c>
      <c r="D267" t="s">
        <v>14</v>
      </c>
      <c r="E267">
        <v>4</v>
      </c>
      <c r="F267" s="4">
        <v>12.91</v>
      </c>
      <c r="G267" s="4" t="str">
        <f t="shared" si="36"/>
        <v>Mid-Range</v>
      </c>
      <c r="H267" s="4">
        <f t="shared" si="42"/>
        <v>7.7459999999999996</v>
      </c>
      <c r="I267">
        <f t="shared" si="37"/>
        <v>51.64</v>
      </c>
      <c r="J267" s="4">
        <f t="shared" si="43"/>
        <v>43.893999999999998</v>
      </c>
      <c r="K267" s="8">
        <f t="shared" si="44"/>
        <v>0.85</v>
      </c>
      <c r="L267" t="s">
        <v>19</v>
      </c>
      <c r="M267" s="2">
        <v>45780.218819444446</v>
      </c>
      <c r="N267" s="3">
        <v>45780.218819444446</v>
      </c>
      <c r="O267" t="str">
        <f t="shared" si="38"/>
        <v>May</v>
      </c>
      <c r="P267" t="str">
        <f t="shared" si="39"/>
        <v>Sat</v>
      </c>
      <c r="Q267" t="str">
        <f t="shared" si="40"/>
        <v>Weekend</v>
      </c>
      <c r="R267">
        <f t="shared" si="41"/>
        <v>5</v>
      </c>
      <c r="S267" t="s">
        <v>527</v>
      </c>
    </row>
    <row r="268" spans="1:19" x14ac:dyDescent="0.25">
      <c r="A268">
        <v>1616</v>
      </c>
      <c r="B268" t="s">
        <v>114</v>
      </c>
      <c r="C268" t="s">
        <v>28</v>
      </c>
      <c r="D268" t="s">
        <v>14</v>
      </c>
      <c r="E268">
        <v>2</v>
      </c>
      <c r="F268" s="4">
        <v>16.45</v>
      </c>
      <c r="G268" s="4" t="str">
        <f t="shared" si="36"/>
        <v>Mid-Range</v>
      </c>
      <c r="H268" s="4">
        <f t="shared" si="42"/>
        <v>9.8699999999999992</v>
      </c>
      <c r="I268">
        <f t="shared" si="37"/>
        <v>32.9</v>
      </c>
      <c r="J268" s="4">
        <f t="shared" si="43"/>
        <v>23.03</v>
      </c>
      <c r="K268" s="8">
        <f t="shared" si="44"/>
        <v>0.70000000000000007</v>
      </c>
      <c r="L268" t="s">
        <v>17</v>
      </c>
      <c r="M268" s="2">
        <v>45780.60659722222</v>
      </c>
      <c r="N268" s="3">
        <v>45780.60659722222</v>
      </c>
      <c r="O268" t="str">
        <f t="shared" si="38"/>
        <v>May</v>
      </c>
      <c r="P268" t="str">
        <f t="shared" si="39"/>
        <v>Sat</v>
      </c>
      <c r="Q268" t="str">
        <f t="shared" si="40"/>
        <v>Weekend</v>
      </c>
      <c r="R268">
        <f t="shared" si="41"/>
        <v>14</v>
      </c>
      <c r="S268" t="s">
        <v>528</v>
      </c>
    </row>
    <row r="269" spans="1:19" x14ac:dyDescent="0.25">
      <c r="A269">
        <v>3312</v>
      </c>
      <c r="B269" t="s">
        <v>457</v>
      </c>
      <c r="C269" t="s">
        <v>35</v>
      </c>
      <c r="D269" t="s">
        <v>22</v>
      </c>
      <c r="E269">
        <v>2</v>
      </c>
      <c r="F269" s="4">
        <v>21.63</v>
      </c>
      <c r="G269" s="4" t="str">
        <f t="shared" si="36"/>
        <v>Premium</v>
      </c>
      <c r="H269" s="4">
        <f t="shared" si="42"/>
        <v>12.978</v>
      </c>
      <c r="I269">
        <f t="shared" si="37"/>
        <v>43.26</v>
      </c>
      <c r="J269" s="4">
        <f t="shared" si="43"/>
        <v>30.281999999999996</v>
      </c>
      <c r="K269" s="8">
        <f t="shared" si="44"/>
        <v>0.7</v>
      </c>
      <c r="L269" t="s">
        <v>19</v>
      </c>
      <c r="M269" s="2">
        <v>45780.633067129631</v>
      </c>
      <c r="N269" s="3">
        <v>45780.633067129631</v>
      </c>
      <c r="O269" t="str">
        <f t="shared" si="38"/>
        <v>May</v>
      </c>
      <c r="P269" t="str">
        <f t="shared" si="39"/>
        <v>Sat</v>
      </c>
      <c r="Q269" t="str">
        <f t="shared" si="40"/>
        <v>Weekend</v>
      </c>
      <c r="R269">
        <f t="shared" si="41"/>
        <v>15</v>
      </c>
      <c r="S269" t="s">
        <v>528</v>
      </c>
    </row>
    <row r="270" spans="1:19" x14ac:dyDescent="0.25">
      <c r="A270">
        <v>5460</v>
      </c>
      <c r="B270" t="s">
        <v>230</v>
      </c>
      <c r="C270" t="s">
        <v>37</v>
      </c>
      <c r="D270" t="s">
        <v>10</v>
      </c>
      <c r="E270">
        <v>5</v>
      </c>
      <c r="F270" s="4">
        <v>9.58</v>
      </c>
      <c r="G270" s="4" t="str">
        <f t="shared" si="36"/>
        <v>Budget</v>
      </c>
      <c r="H270" s="4">
        <f t="shared" si="42"/>
        <v>5.7480000000000002</v>
      </c>
      <c r="I270">
        <f t="shared" si="37"/>
        <v>47.9</v>
      </c>
      <c r="J270" s="4">
        <f t="shared" si="43"/>
        <v>42.152000000000001</v>
      </c>
      <c r="K270" s="8">
        <f t="shared" si="44"/>
        <v>0.88</v>
      </c>
      <c r="L270" t="s">
        <v>17</v>
      </c>
      <c r="M270" s="2">
        <v>45780.776689814818</v>
      </c>
      <c r="N270" s="3">
        <v>45780.776689814818</v>
      </c>
      <c r="O270" t="str">
        <f t="shared" si="38"/>
        <v>May</v>
      </c>
      <c r="P270" t="str">
        <f t="shared" si="39"/>
        <v>Sat</v>
      </c>
      <c r="Q270" t="str">
        <f t="shared" si="40"/>
        <v>Weekend</v>
      </c>
      <c r="R270">
        <f t="shared" si="41"/>
        <v>18</v>
      </c>
      <c r="S270" t="s">
        <v>529</v>
      </c>
    </row>
    <row r="271" spans="1:19" x14ac:dyDescent="0.25">
      <c r="A271">
        <v>3164</v>
      </c>
      <c r="B271" t="s">
        <v>467</v>
      </c>
      <c r="C271" t="s">
        <v>33</v>
      </c>
      <c r="D271" t="s">
        <v>14</v>
      </c>
      <c r="E271">
        <v>3</v>
      </c>
      <c r="F271" s="4">
        <v>14.01</v>
      </c>
      <c r="G271" s="4" t="str">
        <f t="shared" si="36"/>
        <v>Mid-Range</v>
      </c>
      <c r="H271" s="4">
        <f t="shared" si="42"/>
        <v>8.4059999999999988</v>
      </c>
      <c r="I271">
        <f t="shared" si="37"/>
        <v>42.03</v>
      </c>
      <c r="J271" s="4">
        <f t="shared" si="43"/>
        <v>33.624000000000002</v>
      </c>
      <c r="K271" s="8">
        <f t="shared" si="44"/>
        <v>0.8</v>
      </c>
      <c r="L271" t="s">
        <v>15</v>
      </c>
      <c r="M271" s="2">
        <v>45781.144490740742</v>
      </c>
      <c r="N271" s="3">
        <v>45781.144490740742</v>
      </c>
      <c r="O271" t="str">
        <f t="shared" si="38"/>
        <v>May</v>
      </c>
      <c r="P271" t="str">
        <f t="shared" si="39"/>
        <v>Sun</v>
      </c>
      <c r="Q271" t="str">
        <f t="shared" si="40"/>
        <v>Weekday</v>
      </c>
      <c r="R271">
        <f t="shared" si="41"/>
        <v>3</v>
      </c>
      <c r="S271" t="s">
        <v>527</v>
      </c>
    </row>
    <row r="272" spans="1:19" x14ac:dyDescent="0.25">
      <c r="A272">
        <v>8996</v>
      </c>
      <c r="B272" t="s">
        <v>91</v>
      </c>
      <c r="C272" t="s">
        <v>35</v>
      </c>
      <c r="D272" t="s">
        <v>22</v>
      </c>
      <c r="E272">
        <v>4</v>
      </c>
      <c r="F272" s="4">
        <v>7.58</v>
      </c>
      <c r="G272" s="4" t="str">
        <f t="shared" si="36"/>
        <v>Budget</v>
      </c>
      <c r="H272" s="4">
        <f t="shared" si="42"/>
        <v>4.548</v>
      </c>
      <c r="I272">
        <f t="shared" si="37"/>
        <v>30.32</v>
      </c>
      <c r="J272" s="4">
        <f t="shared" si="43"/>
        <v>25.771999999999998</v>
      </c>
      <c r="K272" s="8">
        <f t="shared" si="44"/>
        <v>0.85</v>
      </c>
      <c r="L272" t="s">
        <v>11</v>
      </c>
      <c r="M272" s="2">
        <v>45781.311412037037</v>
      </c>
      <c r="N272" s="3">
        <v>45781.311412037037</v>
      </c>
      <c r="O272" t="str">
        <f t="shared" si="38"/>
        <v>May</v>
      </c>
      <c r="P272" t="str">
        <f t="shared" si="39"/>
        <v>Sun</v>
      </c>
      <c r="Q272" t="str">
        <f t="shared" si="40"/>
        <v>Weekday</v>
      </c>
      <c r="R272">
        <f t="shared" si="41"/>
        <v>7</v>
      </c>
      <c r="S272" t="s">
        <v>527</v>
      </c>
    </row>
    <row r="273" spans="1:19" x14ac:dyDescent="0.25">
      <c r="A273">
        <v>5614</v>
      </c>
      <c r="B273" t="s">
        <v>447</v>
      </c>
      <c r="C273" t="s">
        <v>37</v>
      </c>
      <c r="D273" t="s">
        <v>10</v>
      </c>
      <c r="E273">
        <v>5</v>
      </c>
      <c r="F273" s="4">
        <v>8.86</v>
      </c>
      <c r="G273" s="4" t="str">
        <f t="shared" si="36"/>
        <v>Budget</v>
      </c>
      <c r="H273" s="4">
        <f t="shared" si="42"/>
        <v>5.3159999999999998</v>
      </c>
      <c r="I273">
        <f t="shared" si="37"/>
        <v>44.3</v>
      </c>
      <c r="J273" s="4">
        <f t="shared" si="43"/>
        <v>38.983999999999995</v>
      </c>
      <c r="K273" s="8">
        <f t="shared" si="44"/>
        <v>0.87999999999999989</v>
      </c>
      <c r="L273" t="s">
        <v>11</v>
      </c>
      <c r="M273" s="2">
        <v>45781.380844907406</v>
      </c>
      <c r="N273" s="3">
        <v>45781.380844907406</v>
      </c>
      <c r="O273" t="str">
        <f t="shared" si="38"/>
        <v>May</v>
      </c>
      <c r="P273" t="str">
        <f t="shared" si="39"/>
        <v>Sun</v>
      </c>
      <c r="Q273" t="str">
        <f t="shared" si="40"/>
        <v>Weekday</v>
      </c>
      <c r="R273">
        <f t="shared" si="41"/>
        <v>9</v>
      </c>
      <c r="S273" t="s">
        <v>527</v>
      </c>
    </row>
    <row r="274" spans="1:19" x14ac:dyDescent="0.25">
      <c r="A274">
        <v>2430</v>
      </c>
      <c r="B274" t="s">
        <v>160</v>
      </c>
      <c r="C274" t="s">
        <v>28</v>
      </c>
      <c r="D274" t="s">
        <v>14</v>
      </c>
      <c r="E274">
        <v>1</v>
      </c>
      <c r="F274" s="4">
        <v>10.69</v>
      </c>
      <c r="G274" s="4" t="str">
        <f t="shared" si="36"/>
        <v>Mid-Range</v>
      </c>
      <c r="H274" s="4">
        <f t="shared" si="42"/>
        <v>6.4139999999999997</v>
      </c>
      <c r="I274">
        <f t="shared" si="37"/>
        <v>10.69</v>
      </c>
      <c r="J274" s="4">
        <f t="shared" si="43"/>
        <v>4.2759999999999998</v>
      </c>
      <c r="K274" s="8">
        <f t="shared" si="44"/>
        <v>0.4</v>
      </c>
      <c r="L274" t="s">
        <v>15</v>
      </c>
      <c r="M274" s="2">
        <v>45781.483726851853</v>
      </c>
      <c r="N274" s="3">
        <v>45781.483726851853</v>
      </c>
      <c r="O274" t="str">
        <f t="shared" si="38"/>
        <v>May</v>
      </c>
      <c r="P274" t="str">
        <f t="shared" si="39"/>
        <v>Sun</v>
      </c>
      <c r="Q274" t="str">
        <f t="shared" si="40"/>
        <v>Weekday</v>
      </c>
      <c r="R274">
        <f t="shared" si="41"/>
        <v>11</v>
      </c>
      <c r="S274" t="s">
        <v>527</v>
      </c>
    </row>
    <row r="275" spans="1:19" x14ac:dyDescent="0.25">
      <c r="A275">
        <v>4837</v>
      </c>
      <c r="B275" t="s">
        <v>259</v>
      </c>
      <c r="C275" t="s">
        <v>40</v>
      </c>
      <c r="D275" t="s">
        <v>22</v>
      </c>
      <c r="E275">
        <v>4</v>
      </c>
      <c r="F275" s="4">
        <v>17.71</v>
      </c>
      <c r="G275" s="4" t="str">
        <f t="shared" si="36"/>
        <v>Mid-Range</v>
      </c>
      <c r="H275" s="4">
        <f t="shared" si="42"/>
        <v>10.625999999999999</v>
      </c>
      <c r="I275">
        <f t="shared" si="37"/>
        <v>70.84</v>
      </c>
      <c r="J275" s="4">
        <f t="shared" si="43"/>
        <v>60.214000000000006</v>
      </c>
      <c r="K275" s="8">
        <f t="shared" si="44"/>
        <v>0.85000000000000009</v>
      </c>
      <c r="L275" t="s">
        <v>15</v>
      </c>
      <c r="M275" s="2">
        <v>45781.565324074072</v>
      </c>
      <c r="N275" s="3">
        <v>45781.565324074072</v>
      </c>
      <c r="O275" t="str">
        <f t="shared" si="38"/>
        <v>May</v>
      </c>
      <c r="P275" t="str">
        <f t="shared" si="39"/>
        <v>Sun</v>
      </c>
      <c r="Q275" t="str">
        <f t="shared" si="40"/>
        <v>Weekday</v>
      </c>
      <c r="R275">
        <f t="shared" si="41"/>
        <v>13</v>
      </c>
      <c r="S275" t="s">
        <v>528</v>
      </c>
    </row>
    <row r="276" spans="1:19" x14ac:dyDescent="0.25">
      <c r="A276">
        <v>2047</v>
      </c>
      <c r="B276" t="s">
        <v>496</v>
      </c>
      <c r="C276" t="s">
        <v>33</v>
      </c>
      <c r="D276" t="s">
        <v>14</v>
      </c>
      <c r="E276">
        <v>2</v>
      </c>
      <c r="F276" s="4">
        <v>4.24</v>
      </c>
      <c r="G276" s="4" t="str">
        <f t="shared" si="36"/>
        <v>Budget</v>
      </c>
      <c r="H276" s="4">
        <f t="shared" si="42"/>
        <v>2.544</v>
      </c>
      <c r="I276">
        <f t="shared" si="37"/>
        <v>8.48</v>
      </c>
      <c r="J276" s="4">
        <f t="shared" si="43"/>
        <v>5.9359999999999999</v>
      </c>
      <c r="K276" s="8">
        <f t="shared" si="44"/>
        <v>0.7</v>
      </c>
      <c r="L276" t="s">
        <v>17</v>
      </c>
      <c r="M276" s="2">
        <v>45782.179479166669</v>
      </c>
      <c r="N276" s="3">
        <v>45782.179479166669</v>
      </c>
      <c r="O276" t="str">
        <f t="shared" si="38"/>
        <v>May</v>
      </c>
      <c r="P276" t="str">
        <f t="shared" si="39"/>
        <v>Mon</v>
      </c>
      <c r="Q276" t="str">
        <f t="shared" si="40"/>
        <v>Weekday</v>
      </c>
      <c r="R276">
        <f t="shared" si="41"/>
        <v>4</v>
      </c>
      <c r="S276" t="s">
        <v>527</v>
      </c>
    </row>
    <row r="277" spans="1:19" x14ac:dyDescent="0.25">
      <c r="A277">
        <v>4626</v>
      </c>
      <c r="B277" t="s">
        <v>34</v>
      </c>
      <c r="C277" t="s">
        <v>35</v>
      </c>
      <c r="D277" t="s">
        <v>22</v>
      </c>
      <c r="E277">
        <v>3</v>
      </c>
      <c r="F277" s="4">
        <v>3.44</v>
      </c>
      <c r="G277" s="4" t="str">
        <f t="shared" si="36"/>
        <v>Budget</v>
      </c>
      <c r="H277" s="4">
        <f t="shared" si="42"/>
        <v>2.0640000000000001</v>
      </c>
      <c r="I277">
        <f t="shared" si="37"/>
        <v>10.32</v>
      </c>
      <c r="J277" s="4">
        <f t="shared" si="43"/>
        <v>8.2560000000000002</v>
      </c>
      <c r="K277" s="8">
        <f t="shared" si="44"/>
        <v>0.8</v>
      </c>
      <c r="L277" t="s">
        <v>17</v>
      </c>
      <c r="M277" s="2">
        <v>45782.372731481482</v>
      </c>
      <c r="N277" s="3">
        <v>45782.372731481482</v>
      </c>
      <c r="O277" t="str">
        <f t="shared" si="38"/>
        <v>May</v>
      </c>
      <c r="P277" t="str">
        <f t="shared" si="39"/>
        <v>Mon</v>
      </c>
      <c r="Q277" t="str">
        <f t="shared" si="40"/>
        <v>Weekday</v>
      </c>
      <c r="R277">
        <f t="shared" si="41"/>
        <v>8</v>
      </c>
      <c r="S277" t="s">
        <v>527</v>
      </c>
    </row>
    <row r="278" spans="1:19" x14ac:dyDescent="0.25">
      <c r="A278">
        <v>6353</v>
      </c>
      <c r="B278" t="s">
        <v>110</v>
      </c>
      <c r="C278" t="s">
        <v>13</v>
      </c>
      <c r="D278" t="s">
        <v>14</v>
      </c>
      <c r="E278">
        <v>1</v>
      </c>
      <c r="F278" s="4">
        <v>19.989999999999998</v>
      </c>
      <c r="G278" s="4" t="str">
        <f t="shared" si="36"/>
        <v>Mid-Range</v>
      </c>
      <c r="H278" s="4">
        <f t="shared" si="42"/>
        <v>11.993999999999998</v>
      </c>
      <c r="I278">
        <f t="shared" si="37"/>
        <v>19.989999999999998</v>
      </c>
      <c r="J278" s="4">
        <f t="shared" si="43"/>
        <v>7.9960000000000004</v>
      </c>
      <c r="K278" s="8">
        <f t="shared" si="44"/>
        <v>0.40000000000000008</v>
      </c>
      <c r="L278" t="s">
        <v>15</v>
      </c>
      <c r="M278" s="2">
        <v>45782.85733796296</v>
      </c>
      <c r="N278" s="3">
        <v>45782.85733796296</v>
      </c>
      <c r="O278" t="str">
        <f t="shared" si="38"/>
        <v>May</v>
      </c>
      <c r="P278" t="str">
        <f t="shared" si="39"/>
        <v>Mon</v>
      </c>
      <c r="Q278" t="str">
        <f t="shared" si="40"/>
        <v>Weekday</v>
      </c>
      <c r="R278">
        <f t="shared" si="41"/>
        <v>20</v>
      </c>
      <c r="S278" t="s">
        <v>529</v>
      </c>
    </row>
    <row r="279" spans="1:19" x14ac:dyDescent="0.25">
      <c r="A279">
        <v>9562</v>
      </c>
      <c r="B279" t="s">
        <v>221</v>
      </c>
      <c r="C279" t="s">
        <v>28</v>
      </c>
      <c r="D279" t="s">
        <v>14</v>
      </c>
      <c r="E279">
        <v>1</v>
      </c>
      <c r="F279" s="4">
        <v>4.1900000000000004</v>
      </c>
      <c r="G279" s="4" t="str">
        <f t="shared" si="36"/>
        <v>Budget</v>
      </c>
      <c r="H279" s="4">
        <f t="shared" si="42"/>
        <v>2.5140000000000002</v>
      </c>
      <c r="I279">
        <f t="shared" si="37"/>
        <v>4.1900000000000004</v>
      </c>
      <c r="J279" s="4">
        <f t="shared" si="43"/>
        <v>1.6760000000000002</v>
      </c>
      <c r="K279" s="8">
        <f t="shared" si="44"/>
        <v>0.4</v>
      </c>
      <c r="L279" t="s">
        <v>19</v>
      </c>
      <c r="M279" s="2">
        <v>45784.131793981483</v>
      </c>
      <c r="N279" s="3">
        <v>45784.131793981483</v>
      </c>
      <c r="O279" t="str">
        <f t="shared" si="38"/>
        <v>May</v>
      </c>
      <c r="P279" t="str">
        <f t="shared" si="39"/>
        <v>Wed</v>
      </c>
      <c r="Q279" t="str">
        <f t="shared" si="40"/>
        <v>Weekday</v>
      </c>
      <c r="R279">
        <f t="shared" si="41"/>
        <v>3</v>
      </c>
      <c r="S279" t="s">
        <v>527</v>
      </c>
    </row>
    <row r="280" spans="1:19" x14ac:dyDescent="0.25">
      <c r="A280">
        <v>5982</v>
      </c>
      <c r="B280" t="s">
        <v>116</v>
      </c>
      <c r="C280" t="s">
        <v>33</v>
      </c>
      <c r="D280" t="s">
        <v>14</v>
      </c>
      <c r="E280">
        <v>3</v>
      </c>
      <c r="F280" s="4">
        <v>17.100000000000001</v>
      </c>
      <c r="G280" s="4" t="str">
        <f t="shared" si="36"/>
        <v>Mid-Range</v>
      </c>
      <c r="H280" s="4">
        <f t="shared" si="42"/>
        <v>10.26</v>
      </c>
      <c r="I280">
        <f t="shared" si="37"/>
        <v>51.300000000000004</v>
      </c>
      <c r="J280" s="4">
        <f t="shared" si="43"/>
        <v>41.040000000000006</v>
      </c>
      <c r="K280" s="8">
        <f t="shared" si="44"/>
        <v>0.8</v>
      </c>
      <c r="L280" t="s">
        <v>11</v>
      </c>
      <c r="M280" s="2">
        <v>45784.362534722219</v>
      </c>
      <c r="N280" s="3">
        <v>45784.362534722219</v>
      </c>
      <c r="O280" t="str">
        <f t="shared" si="38"/>
        <v>May</v>
      </c>
      <c r="P280" t="str">
        <f t="shared" si="39"/>
        <v>Wed</v>
      </c>
      <c r="Q280" t="str">
        <f t="shared" si="40"/>
        <v>Weekday</v>
      </c>
      <c r="R280">
        <f t="shared" si="41"/>
        <v>8</v>
      </c>
      <c r="S280" t="s">
        <v>527</v>
      </c>
    </row>
    <row r="281" spans="1:19" x14ac:dyDescent="0.25">
      <c r="A281">
        <v>7314</v>
      </c>
      <c r="B281" t="s">
        <v>96</v>
      </c>
      <c r="C281" t="s">
        <v>37</v>
      </c>
      <c r="D281" t="s">
        <v>10</v>
      </c>
      <c r="E281">
        <v>2</v>
      </c>
      <c r="F281" s="4">
        <v>9.1300000000000008</v>
      </c>
      <c r="G281" s="4" t="str">
        <f t="shared" si="36"/>
        <v>Budget</v>
      </c>
      <c r="H281" s="4">
        <f t="shared" si="42"/>
        <v>5.4780000000000006</v>
      </c>
      <c r="I281">
        <f t="shared" si="37"/>
        <v>18.260000000000002</v>
      </c>
      <c r="J281" s="4">
        <f t="shared" si="43"/>
        <v>12.782</v>
      </c>
      <c r="K281" s="8">
        <f t="shared" si="44"/>
        <v>0.7</v>
      </c>
      <c r="L281" t="s">
        <v>11</v>
      </c>
      <c r="M281" s="2">
        <v>45784.767314814817</v>
      </c>
      <c r="N281" s="3">
        <v>45784.767314814817</v>
      </c>
      <c r="O281" t="str">
        <f t="shared" si="38"/>
        <v>May</v>
      </c>
      <c r="P281" t="str">
        <f t="shared" si="39"/>
        <v>Wed</v>
      </c>
      <c r="Q281" t="str">
        <f t="shared" si="40"/>
        <v>Weekday</v>
      </c>
      <c r="R281">
        <f t="shared" si="41"/>
        <v>18</v>
      </c>
      <c r="S281" t="s">
        <v>529</v>
      </c>
    </row>
    <row r="282" spans="1:19" x14ac:dyDescent="0.25">
      <c r="A282">
        <v>7570</v>
      </c>
      <c r="B282" t="s">
        <v>109</v>
      </c>
      <c r="C282" t="s">
        <v>30</v>
      </c>
      <c r="D282" t="s">
        <v>10</v>
      </c>
      <c r="E282">
        <v>4</v>
      </c>
      <c r="F282" s="4">
        <v>21.01</v>
      </c>
      <c r="G282" s="4" t="str">
        <f t="shared" si="36"/>
        <v>Premium</v>
      </c>
      <c r="H282" s="4">
        <f t="shared" si="42"/>
        <v>12.606</v>
      </c>
      <c r="I282">
        <f t="shared" si="37"/>
        <v>84.04</v>
      </c>
      <c r="J282" s="4">
        <f t="shared" si="43"/>
        <v>71.434000000000012</v>
      </c>
      <c r="K282" s="8">
        <f t="shared" si="44"/>
        <v>0.85000000000000009</v>
      </c>
      <c r="L282" t="s">
        <v>15</v>
      </c>
      <c r="M282" s="2">
        <v>45785.511018518519</v>
      </c>
      <c r="N282" s="3">
        <v>45785.511018518519</v>
      </c>
      <c r="O282" t="str">
        <f t="shared" si="38"/>
        <v>May</v>
      </c>
      <c r="P282" t="str">
        <f t="shared" si="39"/>
        <v>Thu</v>
      </c>
      <c r="Q282" t="str">
        <f t="shared" si="40"/>
        <v>Weekday</v>
      </c>
      <c r="R282">
        <f t="shared" si="41"/>
        <v>12</v>
      </c>
      <c r="S282" t="s">
        <v>528</v>
      </c>
    </row>
    <row r="283" spans="1:19" x14ac:dyDescent="0.25">
      <c r="A283">
        <v>8824</v>
      </c>
      <c r="B283" t="s">
        <v>133</v>
      </c>
      <c r="C283" t="s">
        <v>30</v>
      </c>
      <c r="D283" t="s">
        <v>10</v>
      </c>
      <c r="E283">
        <v>4</v>
      </c>
      <c r="F283" s="4">
        <v>4.68</v>
      </c>
      <c r="G283" s="4" t="str">
        <f t="shared" si="36"/>
        <v>Budget</v>
      </c>
      <c r="H283" s="4">
        <f t="shared" si="42"/>
        <v>2.8079999999999998</v>
      </c>
      <c r="I283">
        <f t="shared" si="37"/>
        <v>18.72</v>
      </c>
      <c r="J283" s="4">
        <f t="shared" si="43"/>
        <v>15.911999999999999</v>
      </c>
      <c r="K283" s="8">
        <f t="shared" si="44"/>
        <v>0.85</v>
      </c>
      <c r="L283" t="s">
        <v>11</v>
      </c>
      <c r="M283" s="2">
        <v>45785.567986111113</v>
      </c>
      <c r="N283" s="3">
        <v>45785.567986111113</v>
      </c>
      <c r="O283" t="str">
        <f t="shared" si="38"/>
        <v>May</v>
      </c>
      <c r="P283" t="str">
        <f t="shared" si="39"/>
        <v>Thu</v>
      </c>
      <c r="Q283" t="str">
        <f t="shared" si="40"/>
        <v>Weekday</v>
      </c>
      <c r="R283">
        <f t="shared" si="41"/>
        <v>13</v>
      </c>
      <c r="S283" t="s">
        <v>528</v>
      </c>
    </row>
    <row r="284" spans="1:19" x14ac:dyDescent="0.25">
      <c r="A284">
        <v>8255</v>
      </c>
      <c r="B284" t="s">
        <v>294</v>
      </c>
      <c r="C284" t="s">
        <v>9</v>
      </c>
      <c r="D284" t="s">
        <v>10</v>
      </c>
      <c r="E284">
        <v>5</v>
      </c>
      <c r="F284" s="4">
        <v>20.85</v>
      </c>
      <c r="G284" s="4" t="str">
        <f t="shared" si="36"/>
        <v>Premium</v>
      </c>
      <c r="H284" s="4">
        <f t="shared" si="42"/>
        <v>12.51</v>
      </c>
      <c r="I284">
        <f t="shared" si="37"/>
        <v>104.25</v>
      </c>
      <c r="J284" s="4">
        <f t="shared" si="43"/>
        <v>91.74</v>
      </c>
      <c r="K284" s="8">
        <f t="shared" si="44"/>
        <v>0.88</v>
      </c>
      <c r="L284" t="s">
        <v>17</v>
      </c>
      <c r="M284" s="2">
        <v>45786.209201388891</v>
      </c>
      <c r="N284" s="3">
        <v>45786.209201388891</v>
      </c>
      <c r="O284" t="str">
        <f t="shared" si="38"/>
        <v>May</v>
      </c>
      <c r="P284" t="str">
        <f t="shared" si="39"/>
        <v>Fri</v>
      </c>
      <c r="Q284" t="str">
        <f t="shared" si="40"/>
        <v>Weekend</v>
      </c>
      <c r="R284">
        <f t="shared" si="41"/>
        <v>5</v>
      </c>
      <c r="S284" t="s">
        <v>527</v>
      </c>
    </row>
    <row r="285" spans="1:19" x14ac:dyDescent="0.25">
      <c r="A285">
        <v>4055</v>
      </c>
      <c r="B285" t="s">
        <v>74</v>
      </c>
      <c r="C285" t="s">
        <v>40</v>
      </c>
      <c r="D285" t="s">
        <v>22</v>
      </c>
      <c r="E285">
        <v>1</v>
      </c>
      <c r="F285" s="4">
        <v>10.79</v>
      </c>
      <c r="G285" s="4" t="str">
        <f t="shared" si="36"/>
        <v>Mid-Range</v>
      </c>
      <c r="H285" s="4">
        <f t="shared" si="42"/>
        <v>6.4739999999999993</v>
      </c>
      <c r="I285">
        <f t="shared" si="37"/>
        <v>10.79</v>
      </c>
      <c r="J285" s="4">
        <f t="shared" si="43"/>
        <v>4.3159999999999998</v>
      </c>
      <c r="K285" s="8">
        <f t="shared" si="44"/>
        <v>0.4</v>
      </c>
      <c r="L285" t="s">
        <v>17</v>
      </c>
      <c r="M285" s="2">
        <v>45786.236284722225</v>
      </c>
      <c r="N285" s="3">
        <v>45786.236284722225</v>
      </c>
      <c r="O285" t="str">
        <f t="shared" si="38"/>
        <v>May</v>
      </c>
      <c r="P285" t="str">
        <f t="shared" si="39"/>
        <v>Fri</v>
      </c>
      <c r="Q285" t="str">
        <f t="shared" si="40"/>
        <v>Weekend</v>
      </c>
      <c r="R285">
        <f t="shared" si="41"/>
        <v>5</v>
      </c>
      <c r="S285" t="s">
        <v>527</v>
      </c>
    </row>
    <row r="286" spans="1:19" x14ac:dyDescent="0.25">
      <c r="A286">
        <v>5294</v>
      </c>
      <c r="B286" t="s">
        <v>365</v>
      </c>
      <c r="C286" t="s">
        <v>30</v>
      </c>
      <c r="D286" t="s">
        <v>10</v>
      </c>
      <c r="E286">
        <v>3</v>
      </c>
      <c r="F286" s="4">
        <v>11.86</v>
      </c>
      <c r="G286" s="4" t="str">
        <f t="shared" si="36"/>
        <v>Mid-Range</v>
      </c>
      <c r="H286" s="4">
        <f t="shared" si="42"/>
        <v>7.1159999999999997</v>
      </c>
      <c r="I286">
        <f t="shared" si="37"/>
        <v>35.58</v>
      </c>
      <c r="J286" s="4">
        <f t="shared" si="43"/>
        <v>28.463999999999999</v>
      </c>
      <c r="K286" s="8">
        <f t="shared" si="44"/>
        <v>0.8</v>
      </c>
      <c r="L286" t="s">
        <v>11</v>
      </c>
      <c r="M286" s="2">
        <v>45786.592650462961</v>
      </c>
      <c r="N286" s="3">
        <v>45786.592650462961</v>
      </c>
      <c r="O286" t="str">
        <f t="shared" si="38"/>
        <v>May</v>
      </c>
      <c r="P286" t="str">
        <f t="shared" si="39"/>
        <v>Fri</v>
      </c>
      <c r="Q286" t="str">
        <f t="shared" si="40"/>
        <v>Weekend</v>
      </c>
      <c r="R286">
        <f t="shared" si="41"/>
        <v>14</v>
      </c>
      <c r="S286" t="s">
        <v>528</v>
      </c>
    </row>
    <row r="287" spans="1:19" x14ac:dyDescent="0.25">
      <c r="A287">
        <v>5103</v>
      </c>
      <c r="B287" t="s">
        <v>431</v>
      </c>
      <c r="C287" t="s">
        <v>13</v>
      </c>
      <c r="D287" t="s">
        <v>14</v>
      </c>
      <c r="E287">
        <v>3</v>
      </c>
      <c r="F287" s="4">
        <v>13.97</v>
      </c>
      <c r="G287" s="4" t="str">
        <f t="shared" si="36"/>
        <v>Mid-Range</v>
      </c>
      <c r="H287" s="4">
        <f t="shared" si="42"/>
        <v>8.3819999999999997</v>
      </c>
      <c r="I287">
        <f t="shared" si="37"/>
        <v>41.910000000000004</v>
      </c>
      <c r="J287" s="4">
        <f t="shared" si="43"/>
        <v>33.528000000000006</v>
      </c>
      <c r="K287" s="8">
        <f t="shared" si="44"/>
        <v>0.8</v>
      </c>
      <c r="L287" t="s">
        <v>19</v>
      </c>
      <c r="M287" s="2">
        <v>45786.786180555559</v>
      </c>
      <c r="N287" s="3">
        <v>45786.786180555559</v>
      </c>
      <c r="O287" t="str">
        <f t="shared" si="38"/>
        <v>May</v>
      </c>
      <c r="P287" t="str">
        <f t="shared" si="39"/>
        <v>Fri</v>
      </c>
      <c r="Q287" t="str">
        <f t="shared" si="40"/>
        <v>Weekend</v>
      </c>
      <c r="R287">
        <f t="shared" si="41"/>
        <v>18</v>
      </c>
      <c r="S287" t="s">
        <v>529</v>
      </c>
    </row>
    <row r="288" spans="1:19" x14ac:dyDescent="0.25">
      <c r="A288">
        <v>7004</v>
      </c>
      <c r="B288" t="s">
        <v>361</v>
      </c>
      <c r="C288" t="s">
        <v>9</v>
      </c>
      <c r="D288" t="s">
        <v>10</v>
      </c>
      <c r="E288">
        <v>3</v>
      </c>
      <c r="F288" s="4">
        <v>12.29</v>
      </c>
      <c r="G288" s="4" t="str">
        <f t="shared" si="36"/>
        <v>Mid-Range</v>
      </c>
      <c r="H288" s="4">
        <f t="shared" si="42"/>
        <v>7.3739999999999988</v>
      </c>
      <c r="I288">
        <f t="shared" si="37"/>
        <v>36.869999999999997</v>
      </c>
      <c r="J288" s="4">
        <f t="shared" si="43"/>
        <v>29.495999999999999</v>
      </c>
      <c r="K288" s="8">
        <f t="shared" si="44"/>
        <v>0.8</v>
      </c>
      <c r="L288" t="s">
        <v>19</v>
      </c>
      <c r="M288" s="2">
        <v>45788.448495370372</v>
      </c>
      <c r="N288" s="3">
        <v>45788.448495370372</v>
      </c>
      <c r="O288" t="str">
        <f t="shared" si="38"/>
        <v>May</v>
      </c>
      <c r="P288" t="str">
        <f t="shared" si="39"/>
        <v>Sun</v>
      </c>
      <c r="Q288" t="str">
        <f t="shared" si="40"/>
        <v>Weekday</v>
      </c>
      <c r="R288">
        <f t="shared" si="41"/>
        <v>10</v>
      </c>
      <c r="S288" t="s">
        <v>527</v>
      </c>
    </row>
    <row r="289" spans="1:19" x14ac:dyDescent="0.25">
      <c r="A289">
        <v>1955</v>
      </c>
      <c r="B289" t="s">
        <v>490</v>
      </c>
      <c r="C289" t="s">
        <v>28</v>
      </c>
      <c r="D289" t="s">
        <v>14</v>
      </c>
      <c r="E289">
        <v>2</v>
      </c>
      <c r="F289" s="4">
        <v>8.64</v>
      </c>
      <c r="G289" s="4" t="str">
        <f t="shared" si="36"/>
        <v>Budget</v>
      </c>
      <c r="H289" s="4">
        <f t="shared" si="42"/>
        <v>5.1840000000000002</v>
      </c>
      <c r="I289">
        <f t="shared" si="37"/>
        <v>17.28</v>
      </c>
      <c r="J289" s="4">
        <f t="shared" si="43"/>
        <v>12.096</v>
      </c>
      <c r="K289" s="8">
        <f t="shared" si="44"/>
        <v>0.7</v>
      </c>
      <c r="L289" t="s">
        <v>19</v>
      </c>
      <c r="M289" s="2">
        <v>45788.887928240743</v>
      </c>
      <c r="N289" s="3">
        <v>45788.887928240743</v>
      </c>
      <c r="O289" t="str">
        <f t="shared" si="38"/>
        <v>May</v>
      </c>
      <c r="P289" t="str">
        <f t="shared" si="39"/>
        <v>Sun</v>
      </c>
      <c r="Q289" t="str">
        <f t="shared" si="40"/>
        <v>Weekday</v>
      </c>
      <c r="R289">
        <f t="shared" si="41"/>
        <v>21</v>
      </c>
      <c r="S289" t="s">
        <v>529</v>
      </c>
    </row>
    <row r="290" spans="1:19" x14ac:dyDescent="0.25">
      <c r="A290">
        <v>1792</v>
      </c>
      <c r="B290" t="s">
        <v>243</v>
      </c>
      <c r="C290" t="s">
        <v>33</v>
      </c>
      <c r="D290" t="s">
        <v>14</v>
      </c>
      <c r="E290">
        <v>4</v>
      </c>
      <c r="F290" s="4">
        <v>7.15</v>
      </c>
      <c r="G290" s="4" t="str">
        <f t="shared" si="36"/>
        <v>Budget</v>
      </c>
      <c r="H290" s="4">
        <f t="shared" si="42"/>
        <v>4.29</v>
      </c>
      <c r="I290">
        <f t="shared" si="37"/>
        <v>28.6</v>
      </c>
      <c r="J290" s="4">
        <f t="shared" si="43"/>
        <v>24.310000000000002</v>
      </c>
      <c r="K290" s="8">
        <f t="shared" si="44"/>
        <v>0.85000000000000009</v>
      </c>
      <c r="L290" t="s">
        <v>15</v>
      </c>
      <c r="M290" s="2">
        <v>45790.292962962965</v>
      </c>
      <c r="N290" s="3">
        <v>45790.292962962965</v>
      </c>
      <c r="O290" t="str">
        <f t="shared" si="38"/>
        <v>May</v>
      </c>
      <c r="P290" t="str">
        <f t="shared" si="39"/>
        <v>Tue</v>
      </c>
      <c r="Q290" t="str">
        <f t="shared" si="40"/>
        <v>Weekday</v>
      </c>
      <c r="R290">
        <f t="shared" si="41"/>
        <v>7</v>
      </c>
      <c r="S290" t="s">
        <v>527</v>
      </c>
    </row>
    <row r="291" spans="1:19" x14ac:dyDescent="0.25">
      <c r="A291">
        <v>9485</v>
      </c>
      <c r="B291" t="s">
        <v>92</v>
      </c>
      <c r="C291" t="s">
        <v>28</v>
      </c>
      <c r="D291" t="s">
        <v>14</v>
      </c>
      <c r="E291">
        <v>3</v>
      </c>
      <c r="F291" s="4">
        <v>5.33</v>
      </c>
      <c r="G291" s="4" t="str">
        <f t="shared" si="36"/>
        <v>Budget</v>
      </c>
      <c r="H291" s="4">
        <f t="shared" si="42"/>
        <v>3.198</v>
      </c>
      <c r="I291">
        <f t="shared" si="37"/>
        <v>15.99</v>
      </c>
      <c r="J291" s="4">
        <f t="shared" si="43"/>
        <v>12.792</v>
      </c>
      <c r="K291" s="8">
        <f t="shared" si="44"/>
        <v>0.79999999999999993</v>
      </c>
      <c r="L291" t="s">
        <v>19</v>
      </c>
      <c r="M291" s="2">
        <v>45790.85601851852</v>
      </c>
      <c r="N291" s="3">
        <v>45790.85601851852</v>
      </c>
      <c r="O291" t="str">
        <f t="shared" si="38"/>
        <v>May</v>
      </c>
      <c r="P291" t="str">
        <f t="shared" si="39"/>
        <v>Tue</v>
      </c>
      <c r="Q291" t="str">
        <f t="shared" si="40"/>
        <v>Weekday</v>
      </c>
      <c r="R291">
        <f t="shared" si="41"/>
        <v>20</v>
      </c>
      <c r="S291" t="s">
        <v>529</v>
      </c>
    </row>
    <row r="292" spans="1:19" x14ac:dyDescent="0.25">
      <c r="A292">
        <v>7628</v>
      </c>
      <c r="B292" t="s">
        <v>439</v>
      </c>
      <c r="C292" t="s">
        <v>30</v>
      </c>
      <c r="D292" t="s">
        <v>10</v>
      </c>
      <c r="E292">
        <v>2</v>
      </c>
      <c r="F292" s="4">
        <v>22.54</v>
      </c>
      <c r="G292" s="4" t="str">
        <f t="shared" si="36"/>
        <v>Premium</v>
      </c>
      <c r="H292" s="4">
        <f t="shared" si="42"/>
        <v>13.523999999999999</v>
      </c>
      <c r="I292">
        <f t="shared" si="37"/>
        <v>45.08</v>
      </c>
      <c r="J292" s="4">
        <f t="shared" si="43"/>
        <v>31.555999999999997</v>
      </c>
      <c r="K292" s="8">
        <f t="shared" si="44"/>
        <v>0.7</v>
      </c>
      <c r="L292" t="s">
        <v>17</v>
      </c>
      <c r="M292" s="2">
        <v>45791.362384259257</v>
      </c>
      <c r="N292" s="3">
        <v>45791.362384259257</v>
      </c>
      <c r="O292" t="str">
        <f t="shared" si="38"/>
        <v>May</v>
      </c>
      <c r="P292" t="str">
        <f t="shared" si="39"/>
        <v>Wed</v>
      </c>
      <c r="Q292" t="str">
        <f t="shared" si="40"/>
        <v>Weekday</v>
      </c>
      <c r="R292">
        <f t="shared" si="41"/>
        <v>8</v>
      </c>
      <c r="S292" t="s">
        <v>527</v>
      </c>
    </row>
    <row r="293" spans="1:19" x14ac:dyDescent="0.25">
      <c r="A293">
        <v>9088</v>
      </c>
      <c r="B293" t="s">
        <v>219</v>
      </c>
      <c r="C293" t="s">
        <v>21</v>
      </c>
      <c r="D293" t="s">
        <v>22</v>
      </c>
      <c r="E293">
        <v>3</v>
      </c>
      <c r="F293" s="4">
        <v>3.33</v>
      </c>
      <c r="G293" s="4" t="str">
        <f t="shared" si="36"/>
        <v>Budget</v>
      </c>
      <c r="H293" s="4">
        <f t="shared" si="42"/>
        <v>1.998</v>
      </c>
      <c r="I293">
        <f t="shared" si="37"/>
        <v>9.99</v>
      </c>
      <c r="J293" s="4">
        <f t="shared" si="43"/>
        <v>7.992</v>
      </c>
      <c r="K293" s="8">
        <f t="shared" si="44"/>
        <v>0.79999999999999993</v>
      </c>
      <c r="L293" t="s">
        <v>19</v>
      </c>
      <c r="M293" s="2">
        <v>45792.484375</v>
      </c>
      <c r="N293" s="3">
        <v>45792.484375</v>
      </c>
      <c r="O293" t="str">
        <f t="shared" si="38"/>
        <v>May</v>
      </c>
      <c r="P293" t="str">
        <f t="shared" si="39"/>
        <v>Thu</v>
      </c>
      <c r="Q293" t="str">
        <f t="shared" si="40"/>
        <v>Weekday</v>
      </c>
      <c r="R293">
        <f t="shared" si="41"/>
        <v>11</v>
      </c>
      <c r="S293" t="s">
        <v>527</v>
      </c>
    </row>
    <row r="294" spans="1:19" x14ac:dyDescent="0.25">
      <c r="A294">
        <v>1272</v>
      </c>
      <c r="B294" t="s">
        <v>18</v>
      </c>
      <c r="C294" t="s">
        <v>9</v>
      </c>
      <c r="D294" t="s">
        <v>10</v>
      </c>
      <c r="E294">
        <v>5</v>
      </c>
      <c r="F294" s="4">
        <v>2.2000000000000002</v>
      </c>
      <c r="G294" s="4" t="str">
        <f t="shared" si="36"/>
        <v>Budget</v>
      </c>
      <c r="H294" s="4">
        <f t="shared" si="42"/>
        <v>1.32</v>
      </c>
      <c r="I294">
        <f t="shared" si="37"/>
        <v>11</v>
      </c>
      <c r="J294" s="4">
        <f t="shared" si="43"/>
        <v>9.68</v>
      </c>
      <c r="K294" s="8">
        <f t="shared" si="44"/>
        <v>0.88</v>
      </c>
      <c r="L294" t="s">
        <v>19</v>
      </c>
      <c r="M294" s="2">
        <v>45792.530381944445</v>
      </c>
      <c r="N294" s="3">
        <v>45792.530381944445</v>
      </c>
      <c r="O294" t="str">
        <f t="shared" si="38"/>
        <v>May</v>
      </c>
      <c r="P294" t="str">
        <f t="shared" si="39"/>
        <v>Thu</v>
      </c>
      <c r="Q294" t="str">
        <f t="shared" si="40"/>
        <v>Weekday</v>
      </c>
      <c r="R294">
        <f t="shared" si="41"/>
        <v>12</v>
      </c>
      <c r="S294" t="s">
        <v>528</v>
      </c>
    </row>
    <row r="295" spans="1:19" x14ac:dyDescent="0.25">
      <c r="A295">
        <v>9271</v>
      </c>
      <c r="B295" t="s">
        <v>68</v>
      </c>
      <c r="C295" t="s">
        <v>40</v>
      </c>
      <c r="D295" t="s">
        <v>22</v>
      </c>
      <c r="E295">
        <v>1</v>
      </c>
      <c r="F295" s="4">
        <v>7.31</v>
      </c>
      <c r="G295" s="4" t="str">
        <f t="shared" si="36"/>
        <v>Budget</v>
      </c>
      <c r="H295" s="4">
        <f t="shared" si="42"/>
        <v>4.3859999999999992</v>
      </c>
      <c r="I295">
        <f t="shared" si="37"/>
        <v>7.31</v>
      </c>
      <c r="J295" s="4">
        <f t="shared" si="43"/>
        <v>2.9240000000000004</v>
      </c>
      <c r="K295" s="8">
        <f t="shared" si="44"/>
        <v>0.40000000000000008</v>
      </c>
      <c r="L295" t="s">
        <v>15</v>
      </c>
      <c r="M295" s="2">
        <v>45792.58315972222</v>
      </c>
      <c r="N295" s="3">
        <v>45792.58315972222</v>
      </c>
      <c r="O295" t="str">
        <f t="shared" si="38"/>
        <v>May</v>
      </c>
      <c r="P295" t="str">
        <f t="shared" si="39"/>
        <v>Thu</v>
      </c>
      <c r="Q295" t="str">
        <f t="shared" si="40"/>
        <v>Weekday</v>
      </c>
      <c r="R295">
        <f t="shared" si="41"/>
        <v>13</v>
      </c>
      <c r="S295" t="s">
        <v>528</v>
      </c>
    </row>
    <row r="296" spans="1:19" x14ac:dyDescent="0.25">
      <c r="A296">
        <v>7479</v>
      </c>
      <c r="B296" t="s">
        <v>135</v>
      </c>
      <c r="C296" t="s">
        <v>30</v>
      </c>
      <c r="D296" t="s">
        <v>10</v>
      </c>
      <c r="E296">
        <v>5</v>
      </c>
      <c r="F296" s="4">
        <v>10.93</v>
      </c>
      <c r="G296" s="4" t="str">
        <f t="shared" si="36"/>
        <v>Mid-Range</v>
      </c>
      <c r="H296" s="4">
        <f t="shared" si="42"/>
        <v>6.5579999999999998</v>
      </c>
      <c r="I296">
        <f t="shared" si="37"/>
        <v>54.65</v>
      </c>
      <c r="J296" s="4">
        <f t="shared" si="43"/>
        <v>48.091999999999999</v>
      </c>
      <c r="K296" s="8">
        <f t="shared" si="44"/>
        <v>0.88</v>
      </c>
      <c r="L296" t="s">
        <v>15</v>
      </c>
      <c r="M296" s="2">
        <v>45792.831782407404</v>
      </c>
      <c r="N296" s="3">
        <v>45792.831782407404</v>
      </c>
      <c r="O296" t="str">
        <f t="shared" si="38"/>
        <v>May</v>
      </c>
      <c r="P296" t="str">
        <f t="shared" si="39"/>
        <v>Thu</v>
      </c>
      <c r="Q296" t="str">
        <f t="shared" si="40"/>
        <v>Weekday</v>
      </c>
      <c r="R296">
        <f t="shared" si="41"/>
        <v>19</v>
      </c>
      <c r="S296" t="s">
        <v>529</v>
      </c>
    </row>
    <row r="297" spans="1:19" x14ac:dyDescent="0.25">
      <c r="A297">
        <v>2330</v>
      </c>
      <c r="B297" t="s">
        <v>369</v>
      </c>
      <c r="C297" t="s">
        <v>33</v>
      </c>
      <c r="D297" t="s">
        <v>14</v>
      </c>
      <c r="E297">
        <v>1</v>
      </c>
      <c r="F297" s="4">
        <v>10.11</v>
      </c>
      <c r="G297" s="4" t="str">
        <f t="shared" si="36"/>
        <v>Mid-Range</v>
      </c>
      <c r="H297" s="4">
        <f t="shared" si="42"/>
        <v>6.0659999999999998</v>
      </c>
      <c r="I297">
        <f t="shared" si="37"/>
        <v>10.11</v>
      </c>
      <c r="J297" s="4">
        <f t="shared" si="43"/>
        <v>4.0439999999999996</v>
      </c>
      <c r="K297" s="8">
        <f t="shared" si="44"/>
        <v>0.39999999999999997</v>
      </c>
      <c r="L297" t="s">
        <v>19</v>
      </c>
      <c r="M297" s="2">
        <v>45793.822083333333</v>
      </c>
      <c r="N297" s="3">
        <v>45793.822083333333</v>
      </c>
      <c r="O297" t="str">
        <f t="shared" si="38"/>
        <v>May</v>
      </c>
      <c r="P297" t="str">
        <f t="shared" si="39"/>
        <v>Fri</v>
      </c>
      <c r="Q297" t="str">
        <f t="shared" si="40"/>
        <v>Weekend</v>
      </c>
      <c r="R297">
        <f t="shared" si="41"/>
        <v>19</v>
      </c>
      <c r="S297" t="s">
        <v>529</v>
      </c>
    </row>
    <row r="298" spans="1:19" x14ac:dyDescent="0.25">
      <c r="A298">
        <v>6314</v>
      </c>
      <c r="B298" t="s">
        <v>498</v>
      </c>
      <c r="C298" t="s">
        <v>30</v>
      </c>
      <c r="D298" t="s">
        <v>10</v>
      </c>
      <c r="E298">
        <v>4</v>
      </c>
      <c r="F298" s="4">
        <v>9.64</v>
      </c>
      <c r="G298" s="4" t="str">
        <f t="shared" si="36"/>
        <v>Budget</v>
      </c>
      <c r="H298" s="4">
        <f t="shared" si="42"/>
        <v>5.7839999999999998</v>
      </c>
      <c r="I298">
        <f t="shared" si="37"/>
        <v>38.56</v>
      </c>
      <c r="J298" s="4">
        <f t="shared" si="43"/>
        <v>32.776000000000003</v>
      </c>
      <c r="K298" s="8">
        <f t="shared" si="44"/>
        <v>0.85000000000000009</v>
      </c>
      <c r="L298" t="s">
        <v>11</v>
      </c>
      <c r="M298" s="2">
        <v>45794.05978009259</v>
      </c>
      <c r="N298" s="3">
        <v>45794.05978009259</v>
      </c>
      <c r="O298" t="str">
        <f t="shared" si="38"/>
        <v>May</v>
      </c>
      <c r="P298" t="str">
        <f t="shared" si="39"/>
        <v>Sat</v>
      </c>
      <c r="Q298" t="str">
        <f t="shared" si="40"/>
        <v>Weekend</v>
      </c>
      <c r="R298">
        <f t="shared" si="41"/>
        <v>1</v>
      </c>
      <c r="S298" t="s">
        <v>527</v>
      </c>
    </row>
    <row r="299" spans="1:19" x14ac:dyDescent="0.25">
      <c r="A299">
        <v>7768</v>
      </c>
      <c r="B299" t="s">
        <v>248</v>
      </c>
      <c r="C299" t="s">
        <v>30</v>
      </c>
      <c r="D299" t="s">
        <v>10</v>
      </c>
      <c r="E299">
        <v>2</v>
      </c>
      <c r="F299" s="4">
        <v>9.17</v>
      </c>
      <c r="G299" s="4" t="str">
        <f t="shared" si="36"/>
        <v>Budget</v>
      </c>
      <c r="H299" s="4">
        <f t="shared" si="42"/>
        <v>5.5019999999999998</v>
      </c>
      <c r="I299">
        <f t="shared" si="37"/>
        <v>18.34</v>
      </c>
      <c r="J299" s="4">
        <f t="shared" si="43"/>
        <v>12.838000000000001</v>
      </c>
      <c r="K299" s="8">
        <f t="shared" si="44"/>
        <v>0.70000000000000007</v>
      </c>
      <c r="L299" t="s">
        <v>19</v>
      </c>
      <c r="M299" s="2">
        <v>45795.510601851849</v>
      </c>
      <c r="N299" s="3">
        <v>45795.510601851849</v>
      </c>
      <c r="O299" t="str">
        <f t="shared" si="38"/>
        <v>May</v>
      </c>
      <c r="P299" t="str">
        <f t="shared" si="39"/>
        <v>Sun</v>
      </c>
      <c r="Q299" t="str">
        <f t="shared" si="40"/>
        <v>Weekday</v>
      </c>
      <c r="R299">
        <f t="shared" si="41"/>
        <v>12</v>
      </c>
      <c r="S299" t="s">
        <v>528</v>
      </c>
    </row>
    <row r="300" spans="1:19" x14ac:dyDescent="0.25">
      <c r="A300">
        <v>2598</v>
      </c>
      <c r="B300" t="s">
        <v>239</v>
      </c>
      <c r="C300" t="s">
        <v>28</v>
      </c>
      <c r="D300" t="s">
        <v>14</v>
      </c>
      <c r="E300">
        <v>3</v>
      </c>
      <c r="F300" s="4">
        <v>2.2599999999999998</v>
      </c>
      <c r="G300" s="4" t="str">
        <f t="shared" si="36"/>
        <v>Budget</v>
      </c>
      <c r="H300" s="4">
        <f t="shared" si="42"/>
        <v>1.3559999999999999</v>
      </c>
      <c r="I300">
        <f t="shared" si="37"/>
        <v>6.7799999999999994</v>
      </c>
      <c r="J300" s="4">
        <f t="shared" si="43"/>
        <v>5.4239999999999995</v>
      </c>
      <c r="K300" s="8">
        <f t="shared" si="44"/>
        <v>0.8</v>
      </c>
      <c r="L300" t="s">
        <v>11</v>
      </c>
      <c r="M300" s="2">
        <v>45796.383935185186</v>
      </c>
      <c r="N300" s="3">
        <v>45796.383935185186</v>
      </c>
      <c r="O300" t="str">
        <f t="shared" si="38"/>
        <v>May</v>
      </c>
      <c r="P300" t="str">
        <f t="shared" si="39"/>
        <v>Mon</v>
      </c>
      <c r="Q300" t="str">
        <f t="shared" si="40"/>
        <v>Weekday</v>
      </c>
      <c r="R300">
        <f t="shared" si="41"/>
        <v>9</v>
      </c>
      <c r="S300" t="s">
        <v>527</v>
      </c>
    </row>
    <row r="301" spans="1:19" x14ac:dyDescent="0.25">
      <c r="A301">
        <v>2785</v>
      </c>
      <c r="B301" t="s">
        <v>241</v>
      </c>
      <c r="C301" t="s">
        <v>9</v>
      </c>
      <c r="D301" t="s">
        <v>10</v>
      </c>
      <c r="E301">
        <v>4</v>
      </c>
      <c r="F301" s="4">
        <v>23.84</v>
      </c>
      <c r="G301" s="4" t="str">
        <f t="shared" si="36"/>
        <v>Premium</v>
      </c>
      <c r="H301" s="4">
        <f t="shared" si="42"/>
        <v>14.304</v>
      </c>
      <c r="I301">
        <f t="shared" si="37"/>
        <v>95.36</v>
      </c>
      <c r="J301" s="4">
        <f t="shared" si="43"/>
        <v>81.055999999999997</v>
      </c>
      <c r="K301" s="8">
        <f t="shared" si="44"/>
        <v>0.85</v>
      </c>
      <c r="L301" t="s">
        <v>19</v>
      </c>
      <c r="M301" s="2">
        <v>45796.517256944448</v>
      </c>
      <c r="N301" s="3">
        <v>45796.517256944448</v>
      </c>
      <c r="O301" t="str">
        <f t="shared" si="38"/>
        <v>May</v>
      </c>
      <c r="P301" t="str">
        <f t="shared" si="39"/>
        <v>Mon</v>
      </c>
      <c r="Q301" t="str">
        <f t="shared" si="40"/>
        <v>Weekday</v>
      </c>
      <c r="R301">
        <f t="shared" si="41"/>
        <v>12</v>
      </c>
      <c r="S301" t="s">
        <v>528</v>
      </c>
    </row>
    <row r="302" spans="1:19" x14ac:dyDescent="0.25">
      <c r="A302">
        <v>6218</v>
      </c>
      <c r="B302" t="s">
        <v>222</v>
      </c>
      <c r="C302" t="s">
        <v>35</v>
      </c>
      <c r="D302" t="s">
        <v>22</v>
      </c>
      <c r="E302">
        <v>4</v>
      </c>
      <c r="F302" s="4">
        <v>17.260000000000002</v>
      </c>
      <c r="G302" s="4" t="str">
        <f t="shared" si="36"/>
        <v>Mid-Range</v>
      </c>
      <c r="H302" s="4">
        <f t="shared" si="42"/>
        <v>10.356</v>
      </c>
      <c r="I302">
        <f t="shared" si="37"/>
        <v>69.040000000000006</v>
      </c>
      <c r="J302" s="4">
        <f t="shared" si="43"/>
        <v>58.684000000000005</v>
      </c>
      <c r="K302" s="8">
        <f t="shared" si="44"/>
        <v>0.85</v>
      </c>
      <c r="L302" t="s">
        <v>17</v>
      </c>
      <c r="M302" s="2">
        <v>45796.542094907411</v>
      </c>
      <c r="N302" s="3">
        <v>45796.542094907411</v>
      </c>
      <c r="O302" t="str">
        <f t="shared" si="38"/>
        <v>May</v>
      </c>
      <c r="P302" t="str">
        <f t="shared" si="39"/>
        <v>Mon</v>
      </c>
      <c r="Q302" t="str">
        <f t="shared" si="40"/>
        <v>Weekday</v>
      </c>
      <c r="R302">
        <f t="shared" si="41"/>
        <v>13</v>
      </c>
      <c r="S302" t="s">
        <v>528</v>
      </c>
    </row>
    <row r="303" spans="1:19" x14ac:dyDescent="0.25">
      <c r="A303">
        <v>6967</v>
      </c>
      <c r="B303" t="s">
        <v>147</v>
      </c>
      <c r="C303" t="s">
        <v>37</v>
      </c>
      <c r="D303" t="s">
        <v>10</v>
      </c>
      <c r="E303">
        <v>2</v>
      </c>
      <c r="F303" s="4">
        <v>2.17</v>
      </c>
      <c r="G303" s="4" t="str">
        <f t="shared" si="36"/>
        <v>Budget</v>
      </c>
      <c r="H303" s="4">
        <f t="shared" si="42"/>
        <v>1.3019999999999998</v>
      </c>
      <c r="I303">
        <f t="shared" si="37"/>
        <v>4.34</v>
      </c>
      <c r="J303" s="4">
        <f t="shared" si="43"/>
        <v>3.0380000000000003</v>
      </c>
      <c r="K303" s="8">
        <f t="shared" si="44"/>
        <v>0.70000000000000007</v>
      </c>
      <c r="L303" t="s">
        <v>15</v>
      </c>
      <c r="M303" s="2">
        <v>45796.658148148148</v>
      </c>
      <c r="N303" s="3">
        <v>45796.658148148148</v>
      </c>
      <c r="O303" t="str">
        <f t="shared" si="38"/>
        <v>May</v>
      </c>
      <c r="P303" t="str">
        <f t="shared" si="39"/>
        <v>Mon</v>
      </c>
      <c r="Q303" t="str">
        <f t="shared" si="40"/>
        <v>Weekday</v>
      </c>
      <c r="R303">
        <f t="shared" si="41"/>
        <v>15</v>
      </c>
      <c r="S303" t="s">
        <v>528</v>
      </c>
    </row>
    <row r="304" spans="1:19" x14ac:dyDescent="0.25">
      <c r="A304">
        <v>6592</v>
      </c>
      <c r="B304" t="s">
        <v>139</v>
      </c>
      <c r="C304" t="s">
        <v>35</v>
      </c>
      <c r="D304" t="s">
        <v>22</v>
      </c>
      <c r="E304">
        <v>1</v>
      </c>
      <c r="F304" s="4">
        <v>8.8800000000000008</v>
      </c>
      <c r="G304" s="4" t="str">
        <f t="shared" si="36"/>
        <v>Budget</v>
      </c>
      <c r="H304" s="4">
        <f t="shared" si="42"/>
        <v>5.3280000000000003</v>
      </c>
      <c r="I304">
        <f t="shared" si="37"/>
        <v>8.8800000000000008</v>
      </c>
      <c r="J304" s="4">
        <f t="shared" si="43"/>
        <v>3.5520000000000005</v>
      </c>
      <c r="K304" s="8">
        <f t="shared" si="44"/>
        <v>0.4</v>
      </c>
      <c r="L304" t="s">
        <v>19</v>
      </c>
      <c r="M304" s="2">
        <v>45797.490347222221</v>
      </c>
      <c r="N304" s="3">
        <v>45797.490347222221</v>
      </c>
      <c r="O304" t="str">
        <f t="shared" si="38"/>
        <v>May</v>
      </c>
      <c r="P304" t="str">
        <f t="shared" si="39"/>
        <v>Tue</v>
      </c>
      <c r="Q304" t="str">
        <f t="shared" si="40"/>
        <v>Weekday</v>
      </c>
      <c r="R304">
        <f t="shared" si="41"/>
        <v>11</v>
      </c>
      <c r="S304" t="s">
        <v>527</v>
      </c>
    </row>
    <row r="305" spans="1:19" x14ac:dyDescent="0.25">
      <c r="A305">
        <v>6857</v>
      </c>
      <c r="B305" t="s">
        <v>90</v>
      </c>
      <c r="C305" t="s">
        <v>40</v>
      </c>
      <c r="D305" t="s">
        <v>22</v>
      </c>
      <c r="E305">
        <v>4</v>
      </c>
      <c r="F305" s="4">
        <v>13.08</v>
      </c>
      <c r="G305" s="4" t="str">
        <f t="shared" si="36"/>
        <v>Mid-Range</v>
      </c>
      <c r="H305" s="4">
        <f t="shared" si="42"/>
        <v>7.8479999999999999</v>
      </c>
      <c r="I305">
        <f t="shared" si="37"/>
        <v>52.32</v>
      </c>
      <c r="J305" s="4">
        <f t="shared" si="43"/>
        <v>44.472000000000001</v>
      </c>
      <c r="K305" s="8">
        <f t="shared" si="44"/>
        <v>0.85</v>
      </c>
      <c r="L305" t="s">
        <v>15</v>
      </c>
      <c r="M305" s="2">
        <v>45797.524282407408</v>
      </c>
      <c r="N305" s="3">
        <v>45797.524282407408</v>
      </c>
      <c r="O305" t="str">
        <f t="shared" si="38"/>
        <v>May</v>
      </c>
      <c r="P305" t="str">
        <f t="shared" si="39"/>
        <v>Tue</v>
      </c>
      <c r="Q305" t="str">
        <f t="shared" si="40"/>
        <v>Weekday</v>
      </c>
      <c r="R305">
        <f t="shared" si="41"/>
        <v>12</v>
      </c>
      <c r="S305" t="s">
        <v>528</v>
      </c>
    </row>
    <row r="306" spans="1:19" x14ac:dyDescent="0.25">
      <c r="A306">
        <v>8664</v>
      </c>
      <c r="B306" t="s">
        <v>46</v>
      </c>
      <c r="C306" t="s">
        <v>30</v>
      </c>
      <c r="D306" t="s">
        <v>10</v>
      </c>
      <c r="E306">
        <v>5</v>
      </c>
      <c r="F306" s="4">
        <v>19.78</v>
      </c>
      <c r="G306" s="4" t="str">
        <f t="shared" si="36"/>
        <v>Mid-Range</v>
      </c>
      <c r="H306" s="4">
        <f t="shared" si="42"/>
        <v>11.868</v>
      </c>
      <c r="I306">
        <f t="shared" si="37"/>
        <v>98.9</v>
      </c>
      <c r="J306" s="4">
        <f t="shared" si="43"/>
        <v>87.032000000000011</v>
      </c>
      <c r="K306" s="8">
        <f t="shared" si="44"/>
        <v>0.88</v>
      </c>
      <c r="L306" t="s">
        <v>15</v>
      </c>
      <c r="M306" s="2">
        <v>45797.705729166664</v>
      </c>
      <c r="N306" s="3">
        <v>45797.705729166664</v>
      </c>
      <c r="O306" t="str">
        <f t="shared" si="38"/>
        <v>May</v>
      </c>
      <c r="P306" t="str">
        <f t="shared" si="39"/>
        <v>Tue</v>
      </c>
      <c r="Q306" t="str">
        <f t="shared" si="40"/>
        <v>Weekday</v>
      </c>
      <c r="R306">
        <f t="shared" si="41"/>
        <v>16</v>
      </c>
      <c r="S306" t="s">
        <v>528</v>
      </c>
    </row>
    <row r="307" spans="1:19" x14ac:dyDescent="0.25">
      <c r="A307">
        <v>5344</v>
      </c>
      <c r="B307" t="s">
        <v>262</v>
      </c>
      <c r="C307" t="s">
        <v>40</v>
      </c>
      <c r="D307" t="s">
        <v>22</v>
      </c>
      <c r="E307">
        <v>1</v>
      </c>
      <c r="F307" s="4">
        <v>12.71</v>
      </c>
      <c r="G307" s="4" t="str">
        <f t="shared" si="36"/>
        <v>Mid-Range</v>
      </c>
      <c r="H307" s="4">
        <f t="shared" si="42"/>
        <v>7.6260000000000003</v>
      </c>
      <c r="I307">
        <f t="shared" si="37"/>
        <v>12.71</v>
      </c>
      <c r="J307" s="4">
        <f t="shared" si="43"/>
        <v>5.0840000000000005</v>
      </c>
      <c r="K307" s="8">
        <f t="shared" si="44"/>
        <v>0.4</v>
      </c>
      <c r="L307" t="s">
        <v>19</v>
      </c>
      <c r="M307" s="2">
        <v>45797.978356481479</v>
      </c>
      <c r="N307" s="3">
        <v>45797.978356481479</v>
      </c>
      <c r="O307" t="str">
        <f t="shared" si="38"/>
        <v>May</v>
      </c>
      <c r="P307" t="str">
        <f t="shared" si="39"/>
        <v>Tue</v>
      </c>
      <c r="Q307" t="str">
        <f t="shared" si="40"/>
        <v>Weekday</v>
      </c>
      <c r="R307">
        <f t="shared" si="41"/>
        <v>23</v>
      </c>
      <c r="S307" t="s">
        <v>529</v>
      </c>
    </row>
    <row r="308" spans="1:19" x14ac:dyDescent="0.25">
      <c r="A308">
        <v>9040</v>
      </c>
      <c r="B308" t="s">
        <v>38</v>
      </c>
      <c r="C308" t="s">
        <v>28</v>
      </c>
      <c r="D308" t="s">
        <v>14</v>
      </c>
      <c r="E308">
        <v>5</v>
      </c>
      <c r="F308" s="4">
        <v>19.489999999999998</v>
      </c>
      <c r="G308" s="4" t="str">
        <f t="shared" si="36"/>
        <v>Mid-Range</v>
      </c>
      <c r="H308" s="4">
        <f t="shared" si="42"/>
        <v>11.693999999999999</v>
      </c>
      <c r="I308">
        <f t="shared" si="37"/>
        <v>97.449999999999989</v>
      </c>
      <c r="J308" s="4">
        <f t="shared" si="43"/>
        <v>85.755999999999986</v>
      </c>
      <c r="K308" s="8">
        <f t="shared" si="44"/>
        <v>0.88</v>
      </c>
      <c r="L308" t="s">
        <v>11</v>
      </c>
      <c r="M308" s="2">
        <v>45798.607800925929</v>
      </c>
      <c r="N308" s="3">
        <v>45798.607800925929</v>
      </c>
      <c r="O308" t="str">
        <f t="shared" si="38"/>
        <v>May</v>
      </c>
      <c r="P308" t="str">
        <f t="shared" si="39"/>
        <v>Wed</v>
      </c>
      <c r="Q308" t="str">
        <f t="shared" si="40"/>
        <v>Weekday</v>
      </c>
      <c r="R308">
        <f t="shared" si="41"/>
        <v>14</v>
      </c>
      <c r="S308" t="s">
        <v>528</v>
      </c>
    </row>
    <row r="309" spans="1:19" x14ac:dyDescent="0.25">
      <c r="A309">
        <v>2110</v>
      </c>
      <c r="B309" t="s">
        <v>164</v>
      </c>
      <c r="C309" t="s">
        <v>21</v>
      </c>
      <c r="D309" t="s">
        <v>22</v>
      </c>
      <c r="E309">
        <v>1</v>
      </c>
      <c r="F309" s="4">
        <v>20</v>
      </c>
      <c r="G309" s="4" t="str">
        <f t="shared" si="36"/>
        <v>Premium</v>
      </c>
      <c r="H309" s="4">
        <f t="shared" si="42"/>
        <v>12</v>
      </c>
      <c r="I309">
        <f t="shared" si="37"/>
        <v>20</v>
      </c>
      <c r="J309" s="4">
        <f t="shared" si="43"/>
        <v>8</v>
      </c>
      <c r="K309" s="8">
        <f t="shared" si="44"/>
        <v>0.4</v>
      </c>
      <c r="L309" t="s">
        <v>11</v>
      </c>
      <c r="M309" s="2">
        <v>45798.913136574076</v>
      </c>
      <c r="N309" s="3">
        <v>45798.913136574076</v>
      </c>
      <c r="O309" t="str">
        <f t="shared" si="38"/>
        <v>May</v>
      </c>
      <c r="P309" t="str">
        <f t="shared" si="39"/>
        <v>Wed</v>
      </c>
      <c r="Q309" t="str">
        <f t="shared" si="40"/>
        <v>Weekday</v>
      </c>
      <c r="R309">
        <f t="shared" si="41"/>
        <v>21</v>
      </c>
      <c r="S309" t="s">
        <v>529</v>
      </c>
    </row>
    <row r="310" spans="1:19" x14ac:dyDescent="0.25">
      <c r="A310">
        <v>5924</v>
      </c>
      <c r="B310" t="s">
        <v>115</v>
      </c>
      <c r="C310" t="s">
        <v>40</v>
      </c>
      <c r="D310" t="s">
        <v>22</v>
      </c>
      <c r="E310">
        <v>3</v>
      </c>
      <c r="F310" s="4">
        <v>3.84</v>
      </c>
      <c r="G310" s="4" t="str">
        <f t="shared" si="36"/>
        <v>Budget</v>
      </c>
      <c r="H310" s="4">
        <f t="shared" si="42"/>
        <v>2.3039999999999998</v>
      </c>
      <c r="I310">
        <f t="shared" si="37"/>
        <v>11.52</v>
      </c>
      <c r="J310" s="4">
        <f t="shared" si="43"/>
        <v>9.2159999999999993</v>
      </c>
      <c r="K310" s="8">
        <f t="shared" si="44"/>
        <v>0.79999999999999993</v>
      </c>
      <c r="L310" t="s">
        <v>19</v>
      </c>
      <c r="M310" s="2">
        <v>45799.168229166666</v>
      </c>
      <c r="N310" s="3">
        <v>45799.168229166666</v>
      </c>
      <c r="O310" t="str">
        <f t="shared" si="38"/>
        <v>May</v>
      </c>
      <c r="P310" t="str">
        <f t="shared" si="39"/>
        <v>Thu</v>
      </c>
      <c r="Q310" t="str">
        <f t="shared" si="40"/>
        <v>Weekday</v>
      </c>
      <c r="R310">
        <f t="shared" si="41"/>
        <v>4</v>
      </c>
      <c r="S310" t="s">
        <v>527</v>
      </c>
    </row>
    <row r="311" spans="1:19" x14ac:dyDescent="0.25">
      <c r="A311">
        <v>1815</v>
      </c>
      <c r="B311" t="s">
        <v>346</v>
      </c>
      <c r="C311" t="s">
        <v>13</v>
      </c>
      <c r="D311" t="s">
        <v>14</v>
      </c>
      <c r="E311">
        <v>1</v>
      </c>
      <c r="F311" s="4">
        <v>16.84</v>
      </c>
      <c r="G311" s="4" t="str">
        <f t="shared" si="36"/>
        <v>Mid-Range</v>
      </c>
      <c r="H311" s="4">
        <f t="shared" si="42"/>
        <v>10.103999999999999</v>
      </c>
      <c r="I311">
        <f t="shared" si="37"/>
        <v>16.84</v>
      </c>
      <c r="J311" s="4">
        <f t="shared" si="43"/>
        <v>6.7360000000000007</v>
      </c>
      <c r="K311" s="8">
        <f t="shared" si="44"/>
        <v>0.4</v>
      </c>
      <c r="L311" t="s">
        <v>19</v>
      </c>
      <c r="M311" s="2">
        <v>45799.59070601852</v>
      </c>
      <c r="N311" s="3">
        <v>45799.59070601852</v>
      </c>
      <c r="O311" t="str">
        <f t="shared" si="38"/>
        <v>May</v>
      </c>
      <c r="P311" t="str">
        <f t="shared" si="39"/>
        <v>Thu</v>
      </c>
      <c r="Q311" t="str">
        <f t="shared" si="40"/>
        <v>Weekday</v>
      </c>
      <c r="R311">
        <f t="shared" si="41"/>
        <v>14</v>
      </c>
      <c r="S311" t="s">
        <v>528</v>
      </c>
    </row>
    <row r="312" spans="1:19" x14ac:dyDescent="0.25">
      <c r="A312">
        <v>5411</v>
      </c>
      <c r="B312" t="s">
        <v>166</v>
      </c>
      <c r="C312" t="s">
        <v>37</v>
      </c>
      <c r="D312" t="s">
        <v>10</v>
      </c>
      <c r="E312">
        <v>1</v>
      </c>
      <c r="F312" s="4">
        <v>2.46</v>
      </c>
      <c r="G312" s="4" t="str">
        <f t="shared" si="36"/>
        <v>Budget</v>
      </c>
      <c r="H312" s="4">
        <f t="shared" si="42"/>
        <v>1.476</v>
      </c>
      <c r="I312">
        <f t="shared" si="37"/>
        <v>2.46</v>
      </c>
      <c r="J312" s="4">
        <f t="shared" si="43"/>
        <v>0.98399999999999999</v>
      </c>
      <c r="K312" s="8">
        <f t="shared" si="44"/>
        <v>0.4</v>
      </c>
      <c r="L312" t="s">
        <v>19</v>
      </c>
      <c r="M312" s="2">
        <v>45799.708564814813</v>
      </c>
      <c r="N312" s="3">
        <v>45799.708564814813</v>
      </c>
      <c r="O312" t="str">
        <f t="shared" si="38"/>
        <v>May</v>
      </c>
      <c r="P312" t="str">
        <f t="shared" si="39"/>
        <v>Thu</v>
      </c>
      <c r="Q312" t="str">
        <f t="shared" si="40"/>
        <v>Weekday</v>
      </c>
      <c r="R312">
        <f t="shared" si="41"/>
        <v>17</v>
      </c>
      <c r="S312" t="s">
        <v>528</v>
      </c>
    </row>
    <row r="313" spans="1:19" x14ac:dyDescent="0.25">
      <c r="A313">
        <v>3680</v>
      </c>
      <c r="B313" t="s">
        <v>471</v>
      </c>
      <c r="C313" t="s">
        <v>13</v>
      </c>
      <c r="D313" t="s">
        <v>14</v>
      </c>
      <c r="E313">
        <v>4</v>
      </c>
      <c r="F313" s="4">
        <v>24.79</v>
      </c>
      <c r="G313" s="4" t="str">
        <f t="shared" si="36"/>
        <v>Premium</v>
      </c>
      <c r="H313" s="4">
        <f t="shared" si="42"/>
        <v>14.873999999999999</v>
      </c>
      <c r="I313">
        <f t="shared" si="37"/>
        <v>99.16</v>
      </c>
      <c r="J313" s="4">
        <f t="shared" si="43"/>
        <v>84.286000000000001</v>
      </c>
      <c r="K313" s="8">
        <f t="shared" si="44"/>
        <v>0.85000000000000009</v>
      </c>
      <c r="L313" t="s">
        <v>11</v>
      </c>
      <c r="M313" s="2">
        <v>45799.82775462963</v>
      </c>
      <c r="N313" s="3">
        <v>45799.82775462963</v>
      </c>
      <c r="O313" t="str">
        <f t="shared" si="38"/>
        <v>May</v>
      </c>
      <c r="P313" t="str">
        <f t="shared" si="39"/>
        <v>Thu</v>
      </c>
      <c r="Q313" t="str">
        <f t="shared" si="40"/>
        <v>Weekday</v>
      </c>
      <c r="R313">
        <f t="shared" si="41"/>
        <v>19</v>
      </c>
      <c r="S313" t="s">
        <v>529</v>
      </c>
    </row>
    <row r="314" spans="1:19" x14ac:dyDescent="0.25">
      <c r="A314">
        <v>7824</v>
      </c>
      <c r="B314" t="s">
        <v>175</v>
      </c>
      <c r="C314" t="s">
        <v>13</v>
      </c>
      <c r="D314" t="s">
        <v>14</v>
      </c>
      <c r="E314">
        <v>5</v>
      </c>
      <c r="F314" s="4">
        <v>9.8800000000000008</v>
      </c>
      <c r="G314" s="4" t="str">
        <f t="shared" si="36"/>
        <v>Budget</v>
      </c>
      <c r="H314" s="4">
        <f t="shared" si="42"/>
        <v>5.9279999999999999</v>
      </c>
      <c r="I314">
        <f t="shared" si="37"/>
        <v>49.400000000000006</v>
      </c>
      <c r="J314" s="4">
        <f t="shared" si="43"/>
        <v>43.472000000000008</v>
      </c>
      <c r="K314" s="8">
        <f t="shared" si="44"/>
        <v>0.88000000000000012</v>
      </c>
      <c r="L314" t="s">
        <v>11</v>
      </c>
      <c r="M314" s="2">
        <v>45799.898668981485</v>
      </c>
      <c r="N314" s="3">
        <v>45799.898668981485</v>
      </c>
      <c r="O314" t="str">
        <f t="shared" si="38"/>
        <v>May</v>
      </c>
      <c r="P314" t="str">
        <f t="shared" si="39"/>
        <v>Thu</v>
      </c>
      <c r="Q314" t="str">
        <f t="shared" si="40"/>
        <v>Weekday</v>
      </c>
      <c r="R314">
        <f t="shared" si="41"/>
        <v>21</v>
      </c>
      <c r="S314" t="s">
        <v>529</v>
      </c>
    </row>
    <row r="315" spans="1:19" x14ac:dyDescent="0.25">
      <c r="A315">
        <v>8091</v>
      </c>
      <c r="B315" t="s">
        <v>120</v>
      </c>
      <c r="C315" t="s">
        <v>35</v>
      </c>
      <c r="D315" t="s">
        <v>22</v>
      </c>
      <c r="E315">
        <v>5</v>
      </c>
      <c r="F315" s="4">
        <v>9.49</v>
      </c>
      <c r="G315" s="4" t="str">
        <f t="shared" si="36"/>
        <v>Budget</v>
      </c>
      <c r="H315" s="4">
        <f t="shared" si="42"/>
        <v>5.694</v>
      </c>
      <c r="I315">
        <f t="shared" si="37"/>
        <v>47.45</v>
      </c>
      <c r="J315" s="4">
        <f t="shared" si="43"/>
        <v>41.756</v>
      </c>
      <c r="K315" s="8">
        <f t="shared" si="44"/>
        <v>0.88</v>
      </c>
      <c r="L315" t="s">
        <v>11</v>
      </c>
      <c r="M315" s="2">
        <v>45800.186203703706</v>
      </c>
      <c r="N315" s="3">
        <v>45800.186203703706</v>
      </c>
      <c r="O315" t="str">
        <f t="shared" si="38"/>
        <v>May</v>
      </c>
      <c r="P315" t="str">
        <f t="shared" si="39"/>
        <v>Fri</v>
      </c>
      <c r="Q315" t="str">
        <f t="shared" si="40"/>
        <v>Weekend</v>
      </c>
      <c r="R315">
        <f t="shared" si="41"/>
        <v>4</v>
      </c>
      <c r="S315" t="s">
        <v>527</v>
      </c>
    </row>
    <row r="316" spans="1:19" x14ac:dyDescent="0.25">
      <c r="A316">
        <v>5831</v>
      </c>
      <c r="B316" t="s">
        <v>288</v>
      </c>
      <c r="C316" t="s">
        <v>40</v>
      </c>
      <c r="D316" t="s">
        <v>22</v>
      </c>
      <c r="E316">
        <v>1</v>
      </c>
      <c r="F316" s="4">
        <v>6.23</v>
      </c>
      <c r="G316" s="4" t="str">
        <f t="shared" si="36"/>
        <v>Budget</v>
      </c>
      <c r="H316" s="4">
        <f t="shared" si="42"/>
        <v>3.738</v>
      </c>
      <c r="I316">
        <f t="shared" si="37"/>
        <v>6.23</v>
      </c>
      <c r="J316" s="4">
        <f t="shared" si="43"/>
        <v>2.4920000000000004</v>
      </c>
      <c r="K316" s="8">
        <f t="shared" si="44"/>
        <v>0.4</v>
      </c>
      <c r="L316" t="s">
        <v>17</v>
      </c>
      <c r="M316" s="2">
        <v>45801.368310185186</v>
      </c>
      <c r="N316" s="3">
        <v>45801.368310185186</v>
      </c>
      <c r="O316" t="str">
        <f t="shared" si="38"/>
        <v>May</v>
      </c>
      <c r="P316" t="str">
        <f t="shared" si="39"/>
        <v>Sat</v>
      </c>
      <c r="Q316" t="str">
        <f t="shared" si="40"/>
        <v>Weekend</v>
      </c>
      <c r="R316">
        <f t="shared" si="41"/>
        <v>8</v>
      </c>
      <c r="S316" t="s">
        <v>527</v>
      </c>
    </row>
    <row r="317" spans="1:19" x14ac:dyDescent="0.25">
      <c r="A317">
        <v>4013</v>
      </c>
      <c r="B317" t="s">
        <v>465</v>
      </c>
      <c r="C317" t="s">
        <v>37</v>
      </c>
      <c r="D317" t="s">
        <v>10</v>
      </c>
      <c r="E317">
        <v>4</v>
      </c>
      <c r="F317" s="4">
        <v>17.87</v>
      </c>
      <c r="G317" s="4" t="str">
        <f t="shared" si="36"/>
        <v>Mid-Range</v>
      </c>
      <c r="H317" s="4">
        <f t="shared" si="42"/>
        <v>10.722</v>
      </c>
      <c r="I317">
        <f t="shared" si="37"/>
        <v>71.48</v>
      </c>
      <c r="J317" s="4">
        <f t="shared" si="43"/>
        <v>60.758000000000003</v>
      </c>
      <c r="K317" s="8">
        <f t="shared" si="44"/>
        <v>0.85</v>
      </c>
      <c r="L317" t="s">
        <v>15</v>
      </c>
      <c r="M317" s="2">
        <v>45802.601030092592</v>
      </c>
      <c r="N317" s="3">
        <v>45802.601030092592</v>
      </c>
      <c r="O317" t="str">
        <f t="shared" si="38"/>
        <v>May</v>
      </c>
      <c r="P317" t="str">
        <f t="shared" si="39"/>
        <v>Sun</v>
      </c>
      <c r="Q317" t="str">
        <f t="shared" si="40"/>
        <v>Weekday</v>
      </c>
      <c r="R317">
        <f t="shared" si="41"/>
        <v>14</v>
      </c>
      <c r="S317" t="s">
        <v>528</v>
      </c>
    </row>
    <row r="318" spans="1:19" x14ac:dyDescent="0.25">
      <c r="A318">
        <v>2513</v>
      </c>
      <c r="B318" t="s">
        <v>315</v>
      </c>
      <c r="C318" t="s">
        <v>37</v>
      </c>
      <c r="D318" t="s">
        <v>10</v>
      </c>
      <c r="E318">
        <v>1</v>
      </c>
      <c r="F318" s="4">
        <v>3.89</v>
      </c>
      <c r="G318" s="4" t="str">
        <f t="shared" si="36"/>
        <v>Budget</v>
      </c>
      <c r="H318" s="4">
        <f t="shared" si="42"/>
        <v>2.3340000000000001</v>
      </c>
      <c r="I318">
        <f t="shared" si="37"/>
        <v>3.89</v>
      </c>
      <c r="J318" s="4">
        <f t="shared" si="43"/>
        <v>1.556</v>
      </c>
      <c r="K318" s="8">
        <f t="shared" si="44"/>
        <v>0.4</v>
      </c>
      <c r="L318" t="s">
        <v>19</v>
      </c>
      <c r="M318" s="2">
        <v>45803.77144675926</v>
      </c>
      <c r="N318" s="3">
        <v>45803.77144675926</v>
      </c>
      <c r="O318" t="str">
        <f t="shared" si="38"/>
        <v>May</v>
      </c>
      <c r="P318" t="str">
        <f t="shared" si="39"/>
        <v>Mon</v>
      </c>
      <c r="Q318" t="str">
        <f t="shared" si="40"/>
        <v>Weekday</v>
      </c>
      <c r="R318">
        <f t="shared" si="41"/>
        <v>18</v>
      </c>
      <c r="S318" t="s">
        <v>529</v>
      </c>
    </row>
    <row r="319" spans="1:19" x14ac:dyDescent="0.25">
      <c r="A319">
        <v>4183</v>
      </c>
      <c r="B319" t="s">
        <v>283</v>
      </c>
      <c r="C319" t="s">
        <v>37</v>
      </c>
      <c r="D319" t="s">
        <v>10</v>
      </c>
      <c r="E319">
        <v>2</v>
      </c>
      <c r="F319" s="4">
        <v>7.16</v>
      </c>
      <c r="G319" s="4" t="str">
        <f t="shared" si="36"/>
        <v>Budget</v>
      </c>
      <c r="H319" s="4">
        <f t="shared" si="42"/>
        <v>4.2960000000000003</v>
      </c>
      <c r="I319">
        <f t="shared" si="37"/>
        <v>14.32</v>
      </c>
      <c r="J319" s="4">
        <f t="shared" si="43"/>
        <v>10.024000000000001</v>
      </c>
      <c r="K319" s="8">
        <f t="shared" si="44"/>
        <v>0.70000000000000007</v>
      </c>
      <c r="L319" t="s">
        <v>17</v>
      </c>
      <c r="M319" s="2">
        <v>45803.978773148148</v>
      </c>
      <c r="N319" s="3">
        <v>45803.978773148148</v>
      </c>
      <c r="O319" t="str">
        <f t="shared" si="38"/>
        <v>May</v>
      </c>
      <c r="P319" t="str">
        <f t="shared" si="39"/>
        <v>Mon</v>
      </c>
      <c r="Q319" t="str">
        <f t="shared" si="40"/>
        <v>Weekday</v>
      </c>
      <c r="R319">
        <f t="shared" si="41"/>
        <v>23</v>
      </c>
      <c r="S319" t="s">
        <v>529</v>
      </c>
    </row>
    <row r="320" spans="1:19" x14ac:dyDescent="0.25">
      <c r="A320">
        <v>5394</v>
      </c>
      <c r="B320" t="s">
        <v>165</v>
      </c>
      <c r="C320" t="s">
        <v>13</v>
      </c>
      <c r="D320" t="s">
        <v>14</v>
      </c>
      <c r="E320">
        <v>3</v>
      </c>
      <c r="F320" s="4">
        <v>2.16</v>
      </c>
      <c r="G320" s="4" t="str">
        <f t="shared" si="36"/>
        <v>Budget</v>
      </c>
      <c r="H320" s="4">
        <f t="shared" si="42"/>
        <v>1.296</v>
      </c>
      <c r="I320">
        <f t="shared" si="37"/>
        <v>6.48</v>
      </c>
      <c r="J320" s="4">
        <f t="shared" si="43"/>
        <v>5.1840000000000002</v>
      </c>
      <c r="K320" s="8">
        <f t="shared" si="44"/>
        <v>0.79999999999999993</v>
      </c>
      <c r="L320" t="s">
        <v>19</v>
      </c>
      <c r="M320" s="2">
        <v>45804.805393518516</v>
      </c>
      <c r="N320" s="3">
        <v>45804.805393518516</v>
      </c>
      <c r="O320" t="str">
        <f t="shared" si="38"/>
        <v>May</v>
      </c>
      <c r="P320" t="str">
        <f t="shared" si="39"/>
        <v>Tue</v>
      </c>
      <c r="Q320" t="str">
        <f t="shared" si="40"/>
        <v>Weekday</v>
      </c>
      <c r="R320">
        <f t="shared" si="41"/>
        <v>19</v>
      </c>
      <c r="S320" t="s">
        <v>529</v>
      </c>
    </row>
    <row r="321" spans="1:19" x14ac:dyDescent="0.25">
      <c r="A321">
        <v>1496</v>
      </c>
      <c r="B321" t="s">
        <v>440</v>
      </c>
      <c r="C321" t="s">
        <v>35</v>
      </c>
      <c r="D321" t="s">
        <v>22</v>
      </c>
      <c r="E321">
        <v>5</v>
      </c>
      <c r="F321" s="4">
        <v>20.81</v>
      </c>
      <c r="G321" s="4" t="str">
        <f t="shared" si="36"/>
        <v>Premium</v>
      </c>
      <c r="H321" s="4">
        <f t="shared" si="42"/>
        <v>12.485999999999999</v>
      </c>
      <c r="I321">
        <f t="shared" si="37"/>
        <v>104.05</v>
      </c>
      <c r="J321" s="4">
        <f t="shared" si="43"/>
        <v>91.563999999999993</v>
      </c>
      <c r="K321" s="8">
        <f t="shared" si="44"/>
        <v>0.88</v>
      </c>
      <c r="L321" t="s">
        <v>17</v>
      </c>
      <c r="M321" s="2">
        <v>45804.832499999997</v>
      </c>
      <c r="N321" s="3">
        <v>45804.832499999997</v>
      </c>
      <c r="O321" t="str">
        <f t="shared" si="38"/>
        <v>May</v>
      </c>
      <c r="P321" t="str">
        <f t="shared" si="39"/>
        <v>Tue</v>
      </c>
      <c r="Q321" t="str">
        <f t="shared" si="40"/>
        <v>Weekday</v>
      </c>
      <c r="R321">
        <f t="shared" si="41"/>
        <v>19</v>
      </c>
      <c r="S321" t="s">
        <v>529</v>
      </c>
    </row>
    <row r="322" spans="1:19" x14ac:dyDescent="0.25">
      <c r="A322">
        <v>9053</v>
      </c>
      <c r="B322" t="s">
        <v>184</v>
      </c>
      <c r="C322" t="s">
        <v>37</v>
      </c>
      <c r="D322" t="s">
        <v>10</v>
      </c>
      <c r="E322">
        <v>4</v>
      </c>
      <c r="F322" s="4">
        <v>16.399999999999999</v>
      </c>
      <c r="G322" s="4" t="str">
        <f t="shared" ref="G322:G385" si="45">IF(F322&lt;10,"Budget",IF(F322&lt;20,"Mid-Range","Premium"))</f>
        <v>Mid-Range</v>
      </c>
      <c r="H322" s="4">
        <f t="shared" si="42"/>
        <v>9.8399999999999981</v>
      </c>
      <c r="I322">
        <f t="shared" ref="I322:I385" si="46">E322 * F322</f>
        <v>65.599999999999994</v>
      </c>
      <c r="J322" s="4">
        <f t="shared" si="43"/>
        <v>55.76</v>
      </c>
      <c r="K322" s="8">
        <f t="shared" si="44"/>
        <v>0.85000000000000009</v>
      </c>
      <c r="L322" t="s">
        <v>11</v>
      </c>
      <c r="M322" s="2">
        <v>45805.135196759256</v>
      </c>
      <c r="N322" s="3">
        <v>45805.135196759256</v>
      </c>
      <c r="O322" t="str">
        <f t="shared" ref="O322:O385" si="47">TEXT(N322,"MMM")</f>
        <v>May</v>
      </c>
      <c r="P322" t="str">
        <f t="shared" ref="P322:P385" si="48">TEXT(M322, "DDD")</f>
        <v>Wed</v>
      </c>
      <c r="Q322" t="str">
        <f t="shared" ref="Q322:Q385" si="49">IF(OR(P322="Fri",P322="Sat"),"Weekend","Weekday")</f>
        <v>Weekday</v>
      </c>
      <c r="R322">
        <f t="shared" ref="R322:R385" si="50">HOUR(N322)</f>
        <v>3</v>
      </c>
      <c r="S322" t="s">
        <v>527</v>
      </c>
    </row>
    <row r="323" spans="1:19" x14ac:dyDescent="0.25">
      <c r="A323">
        <v>9087</v>
      </c>
      <c r="B323" t="s">
        <v>167</v>
      </c>
      <c r="C323" t="s">
        <v>13</v>
      </c>
      <c r="D323" t="s">
        <v>14</v>
      </c>
      <c r="E323">
        <v>1</v>
      </c>
      <c r="F323" s="4">
        <v>5.68</v>
      </c>
      <c r="G323" s="4" t="str">
        <f t="shared" si="45"/>
        <v>Budget</v>
      </c>
      <c r="H323" s="4">
        <f t="shared" ref="H323:H386" si="51">60% * F323</f>
        <v>3.4079999999999999</v>
      </c>
      <c r="I323">
        <f t="shared" si="46"/>
        <v>5.68</v>
      </c>
      <c r="J323" s="4">
        <f t="shared" ref="J323:J386" si="52">I323 - H323</f>
        <v>2.2719999999999998</v>
      </c>
      <c r="K323" s="8">
        <f t="shared" ref="K323:K386" si="53">J323 / I323</f>
        <v>0.39999999999999997</v>
      </c>
      <c r="L323" t="s">
        <v>15</v>
      </c>
      <c r="M323" s="2">
        <v>45805.243634259263</v>
      </c>
      <c r="N323" s="3">
        <v>45805.243634259263</v>
      </c>
      <c r="O323" t="str">
        <f t="shared" si="47"/>
        <v>May</v>
      </c>
      <c r="P323" t="str">
        <f t="shared" si="48"/>
        <v>Wed</v>
      </c>
      <c r="Q323" t="str">
        <f t="shared" si="49"/>
        <v>Weekday</v>
      </c>
      <c r="R323">
        <f t="shared" si="50"/>
        <v>5</v>
      </c>
      <c r="S323" t="s">
        <v>527</v>
      </c>
    </row>
    <row r="324" spans="1:19" x14ac:dyDescent="0.25">
      <c r="A324">
        <v>4011</v>
      </c>
      <c r="B324" t="s">
        <v>131</v>
      </c>
      <c r="C324" t="s">
        <v>37</v>
      </c>
      <c r="D324" t="s">
        <v>10</v>
      </c>
      <c r="E324">
        <v>1</v>
      </c>
      <c r="F324" s="4">
        <v>6.17</v>
      </c>
      <c r="G324" s="4" t="str">
        <f t="shared" si="45"/>
        <v>Budget</v>
      </c>
      <c r="H324" s="4">
        <f t="shared" si="51"/>
        <v>3.702</v>
      </c>
      <c r="I324">
        <f t="shared" si="46"/>
        <v>6.17</v>
      </c>
      <c r="J324" s="4">
        <f t="shared" si="52"/>
        <v>2.468</v>
      </c>
      <c r="K324" s="8">
        <f t="shared" si="53"/>
        <v>0.4</v>
      </c>
      <c r="L324" t="s">
        <v>17</v>
      </c>
      <c r="M324" s="2">
        <v>45805.635717592595</v>
      </c>
      <c r="N324" s="3">
        <v>45805.635717592595</v>
      </c>
      <c r="O324" t="str">
        <f t="shared" si="47"/>
        <v>May</v>
      </c>
      <c r="P324" t="str">
        <f t="shared" si="48"/>
        <v>Wed</v>
      </c>
      <c r="Q324" t="str">
        <f t="shared" si="49"/>
        <v>Weekday</v>
      </c>
      <c r="R324">
        <f t="shared" si="50"/>
        <v>15</v>
      </c>
      <c r="S324" t="s">
        <v>528</v>
      </c>
    </row>
    <row r="325" spans="1:19" x14ac:dyDescent="0.25">
      <c r="A325">
        <v>8170</v>
      </c>
      <c r="B325" t="s">
        <v>43</v>
      </c>
      <c r="C325" t="s">
        <v>9</v>
      </c>
      <c r="D325" t="s">
        <v>10</v>
      </c>
      <c r="E325">
        <v>3</v>
      </c>
      <c r="F325" s="4">
        <v>21.48</v>
      </c>
      <c r="G325" s="4" t="str">
        <f t="shared" si="45"/>
        <v>Premium</v>
      </c>
      <c r="H325" s="4">
        <f t="shared" si="51"/>
        <v>12.888</v>
      </c>
      <c r="I325">
        <f t="shared" si="46"/>
        <v>64.44</v>
      </c>
      <c r="J325" s="4">
        <f t="shared" si="52"/>
        <v>51.552</v>
      </c>
      <c r="K325" s="8">
        <f t="shared" si="53"/>
        <v>0.8</v>
      </c>
      <c r="L325" t="s">
        <v>11</v>
      </c>
      <c r="M325" s="2">
        <v>45805.713761574072</v>
      </c>
      <c r="N325" s="3">
        <v>45805.713761574072</v>
      </c>
      <c r="O325" t="str">
        <f t="shared" si="47"/>
        <v>May</v>
      </c>
      <c r="P325" t="str">
        <f t="shared" si="48"/>
        <v>Wed</v>
      </c>
      <c r="Q325" t="str">
        <f t="shared" si="49"/>
        <v>Weekday</v>
      </c>
      <c r="R325">
        <f t="shared" si="50"/>
        <v>17</v>
      </c>
      <c r="S325" t="s">
        <v>528</v>
      </c>
    </row>
    <row r="326" spans="1:19" x14ac:dyDescent="0.25">
      <c r="A326">
        <v>9769</v>
      </c>
      <c r="B326" t="s">
        <v>47</v>
      </c>
      <c r="C326" t="s">
        <v>30</v>
      </c>
      <c r="D326" t="s">
        <v>10</v>
      </c>
      <c r="E326">
        <v>2</v>
      </c>
      <c r="F326" s="4">
        <v>17.22</v>
      </c>
      <c r="G326" s="4" t="str">
        <f t="shared" si="45"/>
        <v>Mid-Range</v>
      </c>
      <c r="H326" s="4">
        <f t="shared" si="51"/>
        <v>10.331999999999999</v>
      </c>
      <c r="I326">
        <f t="shared" si="46"/>
        <v>34.44</v>
      </c>
      <c r="J326" s="4">
        <f t="shared" si="52"/>
        <v>24.107999999999997</v>
      </c>
      <c r="K326" s="8">
        <f t="shared" si="53"/>
        <v>0.7</v>
      </c>
      <c r="L326" t="s">
        <v>11</v>
      </c>
      <c r="M326" s="2">
        <v>45805.942997685182</v>
      </c>
      <c r="N326" s="3">
        <v>45805.942997685182</v>
      </c>
      <c r="O326" t="str">
        <f t="shared" si="47"/>
        <v>May</v>
      </c>
      <c r="P326" t="str">
        <f t="shared" si="48"/>
        <v>Wed</v>
      </c>
      <c r="Q326" t="str">
        <f t="shared" si="49"/>
        <v>Weekday</v>
      </c>
      <c r="R326">
        <f t="shared" si="50"/>
        <v>22</v>
      </c>
      <c r="S326" t="s">
        <v>529</v>
      </c>
    </row>
    <row r="327" spans="1:19" x14ac:dyDescent="0.25">
      <c r="A327">
        <v>3940</v>
      </c>
      <c r="B327" t="s">
        <v>106</v>
      </c>
      <c r="C327" t="s">
        <v>9</v>
      </c>
      <c r="D327" t="s">
        <v>10</v>
      </c>
      <c r="E327">
        <v>1</v>
      </c>
      <c r="F327" s="4">
        <v>5.41</v>
      </c>
      <c r="G327" s="4" t="str">
        <f t="shared" si="45"/>
        <v>Budget</v>
      </c>
      <c r="H327" s="4">
        <f t="shared" si="51"/>
        <v>3.246</v>
      </c>
      <c r="I327">
        <f t="shared" si="46"/>
        <v>5.41</v>
      </c>
      <c r="J327" s="4">
        <f t="shared" si="52"/>
        <v>2.1640000000000001</v>
      </c>
      <c r="K327" s="8">
        <f t="shared" si="53"/>
        <v>0.4</v>
      </c>
      <c r="L327" t="s">
        <v>17</v>
      </c>
      <c r="M327" s="2">
        <v>45806.208506944444</v>
      </c>
      <c r="N327" s="3">
        <v>45806.208506944444</v>
      </c>
      <c r="O327" t="str">
        <f t="shared" si="47"/>
        <v>May</v>
      </c>
      <c r="P327" t="str">
        <f t="shared" si="48"/>
        <v>Thu</v>
      </c>
      <c r="Q327" t="str">
        <f t="shared" si="49"/>
        <v>Weekday</v>
      </c>
      <c r="R327">
        <f t="shared" si="50"/>
        <v>5</v>
      </c>
      <c r="S327" t="s">
        <v>527</v>
      </c>
    </row>
    <row r="328" spans="1:19" x14ac:dyDescent="0.25">
      <c r="A328">
        <v>9744</v>
      </c>
      <c r="B328" t="s">
        <v>456</v>
      </c>
      <c r="C328" t="s">
        <v>33</v>
      </c>
      <c r="D328" t="s">
        <v>14</v>
      </c>
      <c r="E328">
        <v>5</v>
      </c>
      <c r="F328" s="4">
        <v>9.69</v>
      </c>
      <c r="G328" s="4" t="str">
        <f t="shared" si="45"/>
        <v>Budget</v>
      </c>
      <c r="H328" s="4">
        <f t="shared" si="51"/>
        <v>5.8139999999999992</v>
      </c>
      <c r="I328">
        <f t="shared" si="46"/>
        <v>48.449999999999996</v>
      </c>
      <c r="J328" s="4">
        <f t="shared" si="52"/>
        <v>42.635999999999996</v>
      </c>
      <c r="K328" s="8">
        <f t="shared" si="53"/>
        <v>0.88</v>
      </c>
      <c r="L328" t="s">
        <v>19</v>
      </c>
      <c r="M328" s="2">
        <v>45806.534988425927</v>
      </c>
      <c r="N328" s="3">
        <v>45806.534988425927</v>
      </c>
      <c r="O328" t="str">
        <f t="shared" si="47"/>
        <v>May</v>
      </c>
      <c r="P328" t="str">
        <f t="shared" si="48"/>
        <v>Thu</v>
      </c>
      <c r="Q328" t="str">
        <f t="shared" si="49"/>
        <v>Weekday</v>
      </c>
      <c r="R328">
        <f t="shared" si="50"/>
        <v>12</v>
      </c>
      <c r="S328" t="s">
        <v>528</v>
      </c>
    </row>
    <row r="329" spans="1:19" x14ac:dyDescent="0.25">
      <c r="A329">
        <v>4844</v>
      </c>
      <c r="B329" t="s">
        <v>307</v>
      </c>
      <c r="C329" t="s">
        <v>35</v>
      </c>
      <c r="D329" t="s">
        <v>22</v>
      </c>
      <c r="E329">
        <v>3</v>
      </c>
      <c r="F329" s="4">
        <v>15.93</v>
      </c>
      <c r="G329" s="4" t="str">
        <f t="shared" si="45"/>
        <v>Mid-Range</v>
      </c>
      <c r="H329" s="4">
        <f t="shared" si="51"/>
        <v>9.5579999999999998</v>
      </c>
      <c r="I329">
        <f t="shared" si="46"/>
        <v>47.79</v>
      </c>
      <c r="J329" s="4">
        <f t="shared" si="52"/>
        <v>38.231999999999999</v>
      </c>
      <c r="K329" s="8">
        <f t="shared" si="53"/>
        <v>0.8</v>
      </c>
      <c r="L329" t="s">
        <v>17</v>
      </c>
      <c r="M329" s="2">
        <v>45807.229085648149</v>
      </c>
      <c r="N329" s="3">
        <v>45807.229085648149</v>
      </c>
      <c r="O329" t="str">
        <f t="shared" si="47"/>
        <v>May</v>
      </c>
      <c r="P329" t="str">
        <f t="shared" si="48"/>
        <v>Fri</v>
      </c>
      <c r="Q329" t="str">
        <f t="shared" si="49"/>
        <v>Weekend</v>
      </c>
      <c r="R329">
        <f t="shared" si="50"/>
        <v>5</v>
      </c>
      <c r="S329" t="s">
        <v>527</v>
      </c>
    </row>
    <row r="330" spans="1:19" x14ac:dyDescent="0.25">
      <c r="A330">
        <v>4514</v>
      </c>
      <c r="B330" t="s">
        <v>25</v>
      </c>
      <c r="C330" t="s">
        <v>21</v>
      </c>
      <c r="D330" t="s">
        <v>22</v>
      </c>
      <c r="E330">
        <v>4</v>
      </c>
      <c r="F330" s="4">
        <v>2.2799999999999998</v>
      </c>
      <c r="G330" s="4" t="str">
        <f t="shared" si="45"/>
        <v>Budget</v>
      </c>
      <c r="H330" s="4">
        <f t="shared" si="51"/>
        <v>1.3679999999999999</v>
      </c>
      <c r="I330">
        <f t="shared" si="46"/>
        <v>9.1199999999999992</v>
      </c>
      <c r="J330" s="4">
        <f t="shared" si="52"/>
        <v>7.7519999999999989</v>
      </c>
      <c r="K330" s="8">
        <f t="shared" si="53"/>
        <v>0.85</v>
      </c>
      <c r="L330" t="s">
        <v>11</v>
      </c>
      <c r="M330" s="2">
        <v>45807.391840277778</v>
      </c>
      <c r="N330" s="3">
        <v>45807.391840277778</v>
      </c>
      <c r="O330" t="str">
        <f t="shared" si="47"/>
        <v>May</v>
      </c>
      <c r="P330" t="str">
        <f t="shared" si="48"/>
        <v>Fri</v>
      </c>
      <c r="Q330" t="str">
        <f t="shared" si="49"/>
        <v>Weekend</v>
      </c>
      <c r="R330">
        <f t="shared" si="50"/>
        <v>9</v>
      </c>
      <c r="S330" t="s">
        <v>527</v>
      </c>
    </row>
    <row r="331" spans="1:19" x14ac:dyDescent="0.25">
      <c r="A331">
        <v>4484</v>
      </c>
      <c r="B331" t="s">
        <v>298</v>
      </c>
      <c r="C331" t="s">
        <v>37</v>
      </c>
      <c r="D331" t="s">
        <v>10</v>
      </c>
      <c r="E331">
        <v>5</v>
      </c>
      <c r="F331" s="4">
        <v>11.26</v>
      </c>
      <c r="G331" s="4" t="str">
        <f t="shared" si="45"/>
        <v>Mid-Range</v>
      </c>
      <c r="H331" s="4">
        <f t="shared" si="51"/>
        <v>6.7559999999999993</v>
      </c>
      <c r="I331">
        <f t="shared" si="46"/>
        <v>56.3</v>
      </c>
      <c r="J331" s="4">
        <f t="shared" si="52"/>
        <v>49.543999999999997</v>
      </c>
      <c r="K331" s="8">
        <f t="shared" si="53"/>
        <v>0.88</v>
      </c>
      <c r="L331" t="s">
        <v>11</v>
      </c>
      <c r="M331" s="2">
        <v>45807.48064814815</v>
      </c>
      <c r="N331" s="3">
        <v>45807.48064814815</v>
      </c>
      <c r="O331" t="str">
        <f t="shared" si="47"/>
        <v>May</v>
      </c>
      <c r="P331" t="str">
        <f t="shared" si="48"/>
        <v>Fri</v>
      </c>
      <c r="Q331" t="str">
        <f t="shared" si="49"/>
        <v>Weekend</v>
      </c>
      <c r="R331">
        <f t="shared" si="50"/>
        <v>11</v>
      </c>
      <c r="S331" t="s">
        <v>527</v>
      </c>
    </row>
    <row r="332" spans="1:19" x14ac:dyDescent="0.25">
      <c r="A332">
        <v>8884</v>
      </c>
      <c r="B332" t="s">
        <v>484</v>
      </c>
      <c r="C332" t="s">
        <v>37</v>
      </c>
      <c r="D332" t="s">
        <v>10</v>
      </c>
      <c r="E332">
        <v>3</v>
      </c>
      <c r="F332" s="4">
        <v>9.64</v>
      </c>
      <c r="G332" s="4" t="str">
        <f t="shared" si="45"/>
        <v>Budget</v>
      </c>
      <c r="H332" s="4">
        <f t="shared" si="51"/>
        <v>5.7839999999999998</v>
      </c>
      <c r="I332">
        <f t="shared" si="46"/>
        <v>28.92</v>
      </c>
      <c r="J332" s="4">
        <f t="shared" si="52"/>
        <v>23.136000000000003</v>
      </c>
      <c r="K332" s="8">
        <f t="shared" si="53"/>
        <v>0.8</v>
      </c>
      <c r="L332" t="s">
        <v>15</v>
      </c>
      <c r="M332" s="2">
        <v>45807.687638888892</v>
      </c>
      <c r="N332" s="3">
        <v>45807.687638888892</v>
      </c>
      <c r="O332" t="str">
        <f t="shared" si="47"/>
        <v>May</v>
      </c>
      <c r="P332" t="str">
        <f t="shared" si="48"/>
        <v>Fri</v>
      </c>
      <c r="Q332" t="str">
        <f t="shared" si="49"/>
        <v>Weekend</v>
      </c>
      <c r="R332">
        <f t="shared" si="50"/>
        <v>16</v>
      </c>
      <c r="S332" t="s">
        <v>528</v>
      </c>
    </row>
    <row r="333" spans="1:19" x14ac:dyDescent="0.25">
      <c r="A333">
        <v>6565</v>
      </c>
      <c r="B333" t="s">
        <v>78</v>
      </c>
      <c r="C333" t="s">
        <v>28</v>
      </c>
      <c r="D333" t="s">
        <v>14</v>
      </c>
      <c r="E333">
        <v>4</v>
      </c>
      <c r="F333" s="4">
        <v>6.61</v>
      </c>
      <c r="G333" s="4" t="str">
        <f t="shared" si="45"/>
        <v>Budget</v>
      </c>
      <c r="H333" s="4">
        <f t="shared" si="51"/>
        <v>3.9660000000000002</v>
      </c>
      <c r="I333">
        <f t="shared" si="46"/>
        <v>26.44</v>
      </c>
      <c r="J333" s="4">
        <f t="shared" si="52"/>
        <v>22.474</v>
      </c>
      <c r="K333" s="8">
        <f t="shared" si="53"/>
        <v>0.85</v>
      </c>
      <c r="L333" t="s">
        <v>15</v>
      </c>
      <c r="M333" s="2">
        <v>45807.760138888887</v>
      </c>
      <c r="N333" s="3">
        <v>45807.760138888887</v>
      </c>
      <c r="O333" t="str">
        <f t="shared" si="47"/>
        <v>May</v>
      </c>
      <c r="P333" t="str">
        <f t="shared" si="48"/>
        <v>Fri</v>
      </c>
      <c r="Q333" t="str">
        <f t="shared" si="49"/>
        <v>Weekend</v>
      </c>
      <c r="R333">
        <f t="shared" si="50"/>
        <v>18</v>
      </c>
      <c r="S333" t="s">
        <v>529</v>
      </c>
    </row>
    <row r="334" spans="1:19" x14ac:dyDescent="0.25">
      <c r="A334">
        <v>9564</v>
      </c>
      <c r="B334" t="s">
        <v>204</v>
      </c>
      <c r="C334" t="s">
        <v>37</v>
      </c>
      <c r="D334" t="s">
        <v>10</v>
      </c>
      <c r="E334">
        <v>5</v>
      </c>
      <c r="F334" s="4">
        <v>10.14</v>
      </c>
      <c r="G334" s="4" t="str">
        <f t="shared" si="45"/>
        <v>Mid-Range</v>
      </c>
      <c r="H334" s="4">
        <f t="shared" si="51"/>
        <v>6.0840000000000005</v>
      </c>
      <c r="I334">
        <f t="shared" si="46"/>
        <v>50.7</v>
      </c>
      <c r="J334" s="4">
        <f t="shared" si="52"/>
        <v>44.616</v>
      </c>
      <c r="K334" s="8">
        <f t="shared" si="53"/>
        <v>0.87999999999999989</v>
      </c>
      <c r="L334" t="s">
        <v>11</v>
      </c>
      <c r="M334" s="2">
        <v>45807.952939814815</v>
      </c>
      <c r="N334" s="3">
        <v>45807.952939814815</v>
      </c>
      <c r="O334" t="str">
        <f t="shared" si="47"/>
        <v>May</v>
      </c>
      <c r="P334" t="str">
        <f t="shared" si="48"/>
        <v>Fri</v>
      </c>
      <c r="Q334" t="str">
        <f t="shared" si="49"/>
        <v>Weekend</v>
      </c>
      <c r="R334">
        <f t="shared" si="50"/>
        <v>22</v>
      </c>
      <c r="S334" t="s">
        <v>529</v>
      </c>
    </row>
    <row r="335" spans="1:19" x14ac:dyDescent="0.25">
      <c r="A335">
        <v>4062</v>
      </c>
      <c r="B335" t="s">
        <v>238</v>
      </c>
      <c r="C335" t="s">
        <v>33</v>
      </c>
      <c r="D335" t="s">
        <v>14</v>
      </c>
      <c r="E335">
        <v>4</v>
      </c>
      <c r="F335" s="4">
        <v>21.39</v>
      </c>
      <c r="G335" s="4" t="str">
        <f t="shared" si="45"/>
        <v>Premium</v>
      </c>
      <c r="H335" s="4">
        <f t="shared" si="51"/>
        <v>12.834</v>
      </c>
      <c r="I335">
        <f t="shared" si="46"/>
        <v>85.56</v>
      </c>
      <c r="J335" s="4">
        <f t="shared" si="52"/>
        <v>72.725999999999999</v>
      </c>
      <c r="K335" s="8">
        <f t="shared" si="53"/>
        <v>0.85</v>
      </c>
      <c r="L335" t="s">
        <v>19</v>
      </c>
      <c r="M335" s="2">
        <v>45808.968113425923</v>
      </c>
      <c r="N335" s="3">
        <v>45808.968113425923</v>
      </c>
      <c r="O335" t="str">
        <f t="shared" si="47"/>
        <v>May</v>
      </c>
      <c r="P335" t="str">
        <f t="shared" si="48"/>
        <v>Sat</v>
      </c>
      <c r="Q335" t="str">
        <f t="shared" si="49"/>
        <v>Weekend</v>
      </c>
      <c r="R335">
        <f t="shared" si="50"/>
        <v>23</v>
      </c>
      <c r="S335" t="s">
        <v>529</v>
      </c>
    </row>
    <row r="336" spans="1:19" x14ac:dyDescent="0.25">
      <c r="A336">
        <v>5906</v>
      </c>
      <c r="B336" t="s">
        <v>171</v>
      </c>
      <c r="C336" t="s">
        <v>35</v>
      </c>
      <c r="D336" t="s">
        <v>22</v>
      </c>
      <c r="E336">
        <v>3</v>
      </c>
      <c r="F336" s="4">
        <v>4.63</v>
      </c>
      <c r="G336" s="4" t="str">
        <f t="shared" si="45"/>
        <v>Budget</v>
      </c>
      <c r="H336" s="4">
        <f t="shared" si="51"/>
        <v>2.778</v>
      </c>
      <c r="I336">
        <f t="shared" si="46"/>
        <v>13.89</v>
      </c>
      <c r="J336" s="4">
        <f t="shared" si="52"/>
        <v>11.112</v>
      </c>
      <c r="K336" s="8">
        <f t="shared" si="53"/>
        <v>0.79999999999999993</v>
      </c>
      <c r="L336" t="s">
        <v>17</v>
      </c>
      <c r="M336" s="2">
        <v>45810.441388888888</v>
      </c>
      <c r="N336" s="3">
        <v>45810.441388888888</v>
      </c>
      <c r="O336" t="str">
        <f t="shared" si="47"/>
        <v>Jun</v>
      </c>
      <c r="P336" t="str">
        <f t="shared" si="48"/>
        <v>Mon</v>
      </c>
      <c r="Q336" t="str">
        <f t="shared" si="49"/>
        <v>Weekday</v>
      </c>
      <c r="R336">
        <f t="shared" si="50"/>
        <v>10</v>
      </c>
      <c r="S336" t="s">
        <v>527</v>
      </c>
    </row>
    <row r="337" spans="1:19" x14ac:dyDescent="0.25">
      <c r="A337">
        <v>6634</v>
      </c>
      <c r="B337" t="s">
        <v>382</v>
      </c>
      <c r="C337" t="s">
        <v>9</v>
      </c>
      <c r="D337" t="s">
        <v>10</v>
      </c>
      <c r="E337">
        <v>5</v>
      </c>
      <c r="F337" s="4">
        <v>24.87</v>
      </c>
      <c r="G337" s="4" t="str">
        <f t="shared" si="45"/>
        <v>Premium</v>
      </c>
      <c r="H337" s="4">
        <f t="shared" si="51"/>
        <v>14.922000000000001</v>
      </c>
      <c r="I337">
        <f t="shared" si="46"/>
        <v>124.35000000000001</v>
      </c>
      <c r="J337" s="4">
        <f t="shared" si="52"/>
        <v>109.42800000000001</v>
      </c>
      <c r="K337" s="8">
        <f t="shared" si="53"/>
        <v>0.88</v>
      </c>
      <c r="L337" t="s">
        <v>17</v>
      </c>
      <c r="M337" s="2">
        <v>45810.453784722224</v>
      </c>
      <c r="N337" s="3">
        <v>45810.453784722224</v>
      </c>
      <c r="O337" t="str">
        <f t="shared" si="47"/>
        <v>Jun</v>
      </c>
      <c r="P337" t="str">
        <f t="shared" si="48"/>
        <v>Mon</v>
      </c>
      <c r="Q337" t="str">
        <f t="shared" si="49"/>
        <v>Weekday</v>
      </c>
      <c r="R337">
        <f t="shared" si="50"/>
        <v>10</v>
      </c>
      <c r="S337" t="s">
        <v>527</v>
      </c>
    </row>
    <row r="338" spans="1:19" x14ac:dyDescent="0.25">
      <c r="A338">
        <v>8767</v>
      </c>
      <c r="B338" t="s">
        <v>472</v>
      </c>
      <c r="C338" t="s">
        <v>37</v>
      </c>
      <c r="D338" t="s">
        <v>10</v>
      </c>
      <c r="E338">
        <v>2</v>
      </c>
      <c r="F338" s="4">
        <v>3.25</v>
      </c>
      <c r="G338" s="4" t="str">
        <f t="shared" si="45"/>
        <v>Budget</v>
      </c>
      <c r="H338" s="4">
        <f t="shared" si="51"/>
        <v>1.95</v>
      </c>
      <c r="I338">
        <f t="shared" si="46"/>
        <v>6.5</v>
      </c>
      <c r="J338" s="4">
        <f t="shared" si="52"/>
        <v>4.55</v>
      </c>
      <c r="K338" s="8">
        <f t="shared" si="53"/>
        <v>0.7</v>
      </c>
      <c r="L338" t="s">
        <v>11</v>
      </c>
      <c r="M338" s="2">
        <v>45810.959374999999</v>
      </c>
      <c r="N338" s="3">
        <v>45810.959374999999</v>
      </c>
      <c r="O338" t="str">
        <f t="shared" si="47"/>
        <v>Jun</v>
      </c>
      <c r="P338" t="str">
        <f t="shared" si="48"/>
        <v>Mon</v>
      </c>
      <c r="Q338" t="str">
        <f t="shared" si="49"/>
        <v>Weekday</v>
      </c>
      <c r="R338">
        <f t="shared" si="50"/>
        <v>23</v>
      </c>
      <c r="S338" t="s">
        <v>529</v>
      </c>
    </row>
    <row r="339" spans="1:19" x14ac:dyDescent="0.25">
      <c r="A339">
        <v>3946</v>
      </c>
      <c r="B339" t="s">
        <v>26</v>
      </c>
      <c r="C339" t="s">
        <v>9</v>
      </c>
      <c r="D339" t="s">
        <v>10</v>
      </c>
      <c r="E339">
        <v>1</v>
      </c>
      <c r="F339" s="4">
        <v>13.05</v>
      </c>
      <c r="G339" s="4" t="str">
        <f t="shared" si="45"/>
        <v>Mid-Range</v>
      </c>
      <c r="H339" s="4">
        <f t="shared" si="51"/>
        <v>7.83</v>
      </c>
      <c r="I339">
        <f t="shared" si="46"/>
        <v>13.05</v>
      </c>
      <c r="J339" s="4">
        <f t="shared" si="52"/>
        <v>5.2200000000000006</v>
      </c>
      <c r="K339" s="8">
        <f t="shared" si="53"/>
        <v>0.4</v>
      </c>
      <c r="L339" t="s">
        <v>17</v>
      </c>
      <c r="M339" s="2">
        <v>45811.070509259262</v>
      </c>
      <c r="N339" s="3">
        <v>45811.070509259262</v>
      </c>
      <c r="O339" t="str">
        <f t="shared" si="47"/>
        <v>Jun</v>
      </c>
      <c r="P339" t="str">
        <f t="shared" si="48"/>
        <v>Tue</v>
      </c>
      <c r="Q339" t="str">
        <f t="shared" si="49"/>
        <v>Weekday</v>
      </c>
      <c r="R339">
        <f t="shared" si="50"/>
        <v>1</v>
      </c>
      <c r="S339" t="s">
        <v>527</v>
      </c>
    </row>
    <row r="340" spans="1:19" x14ac:dyDescent="0.25">
      <c r="A340">
        <v>9625</v>
      </c>
      <c r="B340" t="s">
        <v>379</v>
      </c>
      <c r="C340" t="s">
        <v>37</v>
      </c>
      <c r="D340" t="s">
        <v>10</v>
      </c>
      <c r="E340">
        <v>1</v>
      </c>
      <c r="F340" s="4">
        <v>16.55</v>
      </c>
      <c r="G340" s="4" t="str">
        <f t="shared" si="45"/>
        <v>Mid-Range</v>
      </c>
      <c r="H340" s="4">
        <f t="shared" si="51"/>
        <v>9.93</v>
      </c>
      <c r="I340">
        <f t="shared" si="46"/>
        <v>16.55</v>
      </c>
      <c r="J340" s="4">
        <f t="shared" si="52"/>
        <v>6.620000000000001</v>
      </c>
      <c r="K340" s="8">
        <f t="shared" si="53"/>
        <v>0.4</v>
      </c>
      <c r="L340" t="s">
        <v>15</v>
      </c>
      <c r="M340" s="2">
        <v>45811.109247685185</v>
      </c>
      <c r="N340" s="3">
        <v>45811.109247685185</v>
      </c>
      <c r="O340" t="str">
        <f t="shared" si="47"/>
        <v>Jun</v>
      </c>
      <c r="P340" t="str">
        <f t="shared" si="48"/>
        <v>Tue</v>
      </c>
      <c r="Q340" t="str">
        <f t="shared" si="49"/>
        <v>Weekday</v>
      </c>
      <c r="R340">
        <f t="shared" si="50"/>
        <v>2</v>
      </c>
      <c r="S340" t="s">
        <v>527</v>
      </c>
    </row>
    <row r="341" spans="1:19" x14ac:dyDescent="0.25">
      <c r="A341">
        <v>6753</v>
      </c>
      <c r="B341" t="s">
        <v>217</v>
      </c>
      <c r="C341" t="s">
        <v>35</v>
      </c>
      <c r="D341" t="s">
        <v>22</v>
      </c>
      <c r="E341">
        <v>2</v>
      </c>
      <c r="F341" s="4">
        <v>15.2</v>
      </c>
      <c r="G341" s="4" t="str">
        <f t="shared" si="45"/>
        <v>Mid-Range</v>
      </c>
      <c r="H341" s="4">
        <f t="shared" si="51"/>
        <v>9.1199999999999992</v>
      </c>
      <c r="I341">
        <f t="shared" si="46"/>
        <v>30.4</v>
      </c>
      <c r="J341" s="4">
        <f t="shared" si="52"/>
        <v>21.28</v>
      </c>
      <c r="K341" s="8">
        <f t="shared" si="53"/>
        <v>0.70000000000000007</v>
      </c>
      <c r="L341" t="s">
        <v>15</v>
      </c>
      <c r="M341" s="2">
        <v>45811.228402777779</v>
      </c>
      <c r="N341" s="3">
        <v>45811.228402777779</v>
      </c>
      <c r="O341" t="str">
        <f t="shared" si="47"/>
        <v>Jun</v>
      </c>
      <c r="P341" t="str">
        <f t="shared" si="48"/>
        <v>Tue</v>
      </c>
      <c r="Q341" t="str">
        <f t="shared" si="49"/>
        <v>Weekday</v>
      </c>
      <c r="R341">
        <f t="shared" si="50"/>
        <v>5</v>
      </c>
      <c r="S341" t="s">
        <v>527</v>
      </c>
    </row>
    <row r="342" spans="1:19" x14ac:dyDescent="0.25">
      <c r="A342">
        <v>9888</v>
      </c>
      <c r="B342" t="s">
        <v>377</v>
      </c>
      <c r="C342" t="s">
        <v>9</v>
      </c>
      <c r="D342" t="s">
        <v>10</v>
      </c>
      <c r="E342">
        <v>1</v>
      </c>
      <c r="F342" s="4">
        <v>13.86</v>
      </c>
      <c r="G342" s="4" t="str">
        <f t="shared" si="45"/>
        <v>Mid-Range</v>
      </c>
      <c r="H342" s="4">
        <f t="shared" si="51"/>
        <v>8.3159999999999989</v>
      </c>
      <c r="I342">
        <f t="shared" si="46"/>
        <v>13.86</v>
      </c>
      <c r="J342" s="4">
        <f t="shared" si="52"/>
        <v>5.5440000000000005</v>
      </c>
      <c r="K342" s="8">
        <f t="shared" si="53"/>
        <v>0.40000000000000008</v>
      </c>
      <c r="L342" t="s">
        <v>15</v>
      </c>
      <c r="M342" s="2">
        <v>45811.77375</v>
      </c>
      <c r="N342" s="3">
        <v>45811.77375</v>
      </c>
      <c r="O342" t="str">
        <f t="shared" si="47"/>
        <v>Jun</v>
      </c>
      <c r="P342" t="str">
        <f t="shared" si="48"/>
        <v>Tue</v>
      </c>
      <c r="Q342" t="str">
        <f t="shared" si="49"/>
        <v>Weekday</v>
      </c>
      <c r="R342">
        <f t="shared" si="50"/>
        <v>18</v>
      </c>
      <c r="S342" t="s">
        <v>529</v>
      </c>
    </row>
    <row r="343" spans="1:19" x14ac:dyDescent="0.25">
      <c r="A343">
        <v>8984</v>
      </c>
      <c r="B343" t="s">
        <v>105</v>
      </c>
      <c r="C343" t="s">
        <v>13</v>
      </c>
      <c r="D343" t="s">
        <v>14</v>
      </c>
      <c r="E343">
        <v>4</v>
      </c>
      <c r="F343" s="4">
        <v>17.02</v>
      </c>
      <c r="G343" s="4" t="str">
        <f t="shared" si="45"/>
        <v>Mid-Range</v>
      </c>
      <c r="H343" s="4">
        <f t="shared" si="51"/>
        <v>10.212</v>
      </c>
      <c r="I343">
        <f t="shared" si="46"/>
        <v>68.08</v>
      </c>
      <c r="J343" s="4">
        <f t="shared" si="52"/>
        <v>57.867999999999995</v>
      </c>
      <c r="K343" s="8">
        <f t="shared" si="53"/>
        <v>0.85</v>
      </c>
      <c r="L343" t="s">
        <v>17</v>
      </c>
      <c r="M343" s="2">
        <v>45812.30327546296</v>
      </c>
      <c r="N343" s="3">
        <v>45812.30327546296</v>
      </c>
      <c r="O343" t="str">
        <f t="shared" si="47"/>
        <v>Jun</v>
      </c>
      <c r="P343" t="str">
        <f t="shared" si="48"/>
        <v>Wed</v>
      </c>
      <c r="Q343" t="str">
        <f t="shared" si="49"/>
        <v>Weekday</v>
      </c>
      <c r="R343">
        <f t="shared" si="50"/>
        <v>7</v>
      </c>
      <c r="S343" t="s">
        <v>527</v>
      </c>
    </row>
    <row r="344" spans="1:19" x14ac:dyDescent="0.25">
      <c r="A344">
        <v>9001</v>
      </c>
      <c r="B344" t="s">
        <v>385</v>
      </c>
      <c r="C344" t="s">
        <v>9</v>
      </c>
      <c r="D344" t="s">
        <v>10</v>
      </c>
      <c r="E344">
        <v>5</v>
      </c>
      <c r="F344" s="4">
        <v>11.9</v>
      </c>
      <c r="G344" s="4" t="str">
        <f t="shared" si="45"/>
        <v>Mid-Range</v>
      </c>
      <c r="H344" s="4">
        <f t="shared" si="51"/>
        <v>7.14</v>
      </c>
      <c r="I344">
        <f t="shared" si="46"/>
        <v>59.5</v>
      </c>
      <c r="J344" s="4">
        <f t="shared" si="52"/>
        <v>52.36</v>
      </c>
      <c r="K344" s="8">
        <f t="shared" si="53"/>
        <v>0.88</v>
      </c>
      <c r="L344" t="s">
        <v>19</v>
      </c>
      <c r="M344" s="2">
        <v>45812.903356481482</v>
      </c>
      <c r="N344" s="3">
        <v>45812.903356481482</v>
      </c>
      <c r="O344" t="str">
        <f t="shared" si="47"/>
        <v>Jun</v>
      </c>
      <c r="P344" t="str">
        <f t="shared" si="48"/>
        <v>Wed</v>
      </c>
      <c r="Q344" t="str">
        <f t="shared" si="49"/>
        <v>Weekday</v>
      </c>
      <c r="R344">
        <f t="shared" si="50"/>
        <v>21</v>
      </c>
      <c r="S344" t="s">
        <v>529</v>
      </c>
    </row>
    <row r="345" spans="1:19" x14ac:dyDescent="0.25">
      <c r="A345">
        <v>2187</v>
      </c>
      <c r="B345" t="s">
        <v>65</v>
      </c>
      <c r="C345" t="s">
        <v>40</v>
      </c>
      <c r="D345" t="s">
        <v>22</v>
      </c>
      <c r="E345">
        <v>2</v>
      </c>
      <c r="F345" s="4">
        <v>12.43</v>
      </c>
      <c r="G345" s="4" t="str">
        <f t="shared" si="45"/>
        <v>Mid-Range</v>
      </c>
      <c r="H345" s="4">
        <f t="shared" si="51"/>
        <v>7.4579999999999993</v>
      </c>
      <c r="I345">
        <f t="shared" si="46"/>
        <v>24.86</v>
      </c>
      <c r="J345" s="4">
        <f t="shared" si="52"/>
        <v>17.402000000000001</v>
      </c>
      <c r="K345" s="8">
        <f t="shared" si="53"/>
        <v>0.70000000000000007</v>
      </c>
      <c r="L345" t="s">
        <v>11</v>
      </c>
      <c r="M345" s="2">
        <v>45813.128611111111</v>
      </c>
      <c r="N345" s="3">
        <v>45813.128611111111</v>
      </c>
      <c r="O345" t="str">
        <f t="shared" si="47"/>
        <v>Jun</v>
      </c>
      <c r="P345" t="str">
        <f t="shared" si="48"/>
        <v>Thu</v>
      </c>
      <c r="Q345" t="str">
        <f t="shared" si="49"/>
        <v>Weekday</v>
      </c>
      <c r="R345">
        <f t="shared" si="50"/>
        <v>3</v>
      </c>
      <c r="S345" t="s">
        <v>527</v>
      </c>
    </row>
    <row r="346" spans="1:19" x14ac:dyDescent="0.25">
      <c r="A346">
        <v>6721</v>
      </c>
      <c r="B346" t="s">
        <v>125</v>
      </c>
      <c r="C346" t="s">
        <v>40</v>
      </c>
      <c r="D346" t="s">
        <v>22</v>
      </c>
      <c r="E346">
        <v>5</v>
      </c>
      <c r="F346" s="4">
        <v>5.87</v>
      </c>
      <c r="G346" s="4" t="str">
        <f t="shared" si="45"/>
        <v>Budget</v>
      </c>
      <c r="H346" s="4">
        <f t="shared" si="51"/>
        <v>3.5219999999999998</v>
      </c>
      <c r="I346">
        <f t="shared" si="46"/>
        <v>29.35</v>
      </c>
      <c r="J346" s="4">
        <f t="shared" si="52"/>
        <v>25.828000000000003</v>
      </c>
      <c r="K346" s="8">
        <f t="shared" si="53"/>
        <v>0.88</v>
      </c>
      <c r="L346" t="s">
        <v>11</v>
      </c>
      <c r="M346" s="2">
        <v>45813.515902777777</v>
      </c>
      <c r="N346" s="3">
        <v>45813.515902777777</v>
      </c>
      <c r="O346" t="str">
        <f t="shared" si="47"/>
        <v>Jun</v>
      </c>
      <c r="P346" t="str">
        <f t="shared" si="48"/>
        <v>Thu</v>
      </c>
      <c r="Q346" t="str">
        <f t="shared" si="49"/>
        <v>Weekday</v>
      </c>
      <c r="R346">
        <f t="shared" si="50"/>
        <v>12</v>
      </c>
      <c r="S346" t="s">
        <v>528</v>
      </c>
    </row>
    <row r="347" spans="1:19" x14ac:dyDescent="0.25">
      <c r="A347">
        <v>3356</v>
      </c>
      <c r="B347" t="s">
        <v>405</v>
      </c>
      <c r="C347" t="s">
        <v>35</v>
      </c>
      <c r="D347" t="s">
        <v>22</v>
      </c>
      <c r="E347">
        <v>4</v>
      </c>
      <c r="F347" s="4">
        <v>12.8</v>
      </c>
      <c r="G347" s="4" t="str">
        <f t="shared" si="45"/>
        <v>Mid-Range</v>
      </c>
      <c r="H347" s="4">
        <f t="shared" si="51"/>
        <v>7.68</v>
      </c>
      <c r="I347">
        <f t="shared" si="46"/>
        <v>51.2</v>
      </c>
      <c r="J347" s="4">
        <f t="shared" si="52"/>
        <v>43.52</v>
      </c>
      <c r="K347" s="8">
        <f t="shared" si="53"/>
        <v>0.85</v>
      </c>
      <c r="L347" t="s">
        <v>15</v>
      </c>
      <c r="M347" s="2">
        <v>45813.79954861111</v>
      </c>
      <c r="N347" s="3">
        <v>45813.79954861111</v>
      </c>
      <c r="O347" t="str">
        <f t="shared" si="47"/>
        <v>Jun</v>
      </c>
      <c r="P347" t="str">
        <f t="shared" si="48"/>
        <v>Thu</v>
      </c>
      <c r="Q347" t="str">
        <f t="shared" si="49"/>
        <v>Weekday</v>
      </c>
      <c r="R347">
        <f t="shared" si="50"/>
        <v>19</v>
      </c>
      <c r="S347" t="s">
        <v>529</v>
      </c>
    </row>
    <row r="348" spans="1:19" x14ac:dyDescent="0.25">
      <c r="A348">
        <v>2710</v>
      </c>
      <c r="B348" t="s">
        <v>383</v>
      </c>
      <c r="C348" t="s">
        <v>9</v>
      </c>
      <c r="D348" t="s">
        <v>10</v>
      </c>
      <c r="E348">
        <v>3</v>
      </c>
      <c r="F348" s="4">
        <v>15.26</v>
      </c>
      <c r="G348" s="4" t="str">
        <f t="shared" si="45"/>
        <v>Mid-Range</v>
      </c>
      <c r="H348" s="4">
        <f t="shared" si="51"/>
        <v>9.1559999999999988</v>
      </c>
      <c r="I348">
        <f t="shared" si="46"/>
        <v>45.78</v>
      </c>
      <c r="J348" s="4">
        <f t="shared" si="52"/>
        <v>36.624000000000002</v>
      </c>
      <c r="K348" s="8">
        <f t="shared" si="53"/>
        <v>0.8</v>
      </c>
      <c r="L348" t="s">
        <v>17</v>
      </c>
      <c r="M348" s="2">
        <v>45813.855810185189</v>
      </c>
      <c r="N348" s="3">
        <v>45813.855810185189</v>
      </c>
      <c r="O348" t="str">
        <f t="shared" si="47"/>
        <v>Jun</v>
      </c>
      <c r="P348" t="str">
        <f t="shared" si="48"/>
        <v>Thu</v>
      </c>
      <c r="Q348" t="str">
        <f t="shared" si="49"/>
        <v>Weekday</v>
      </c>
      <c r="R348">
        <f t="shared" si="50"/>
        <v>20</v>
      </c>
      <c r="S348" t="s">
        <v>529</v>
      </c>
    </row>
    <row r="349" spans="1:19" x14ac:dyDescent="0.25">
      <c r="A349">
        <v>2085</v>
      </c>
      <c r="B349" t="s">
        <v>396</v>
      </c>
      <c r="C349" t="s">
        <v>40</v>
      </c>
      <c r="D349" t="s">
        <v>22</v>
      </c>
      <c r="E349">
        <v>5</v>
      </c>
      <c r="F349" s="4">
        <v>6.46</v>
      </c>
      <c r="G349" s="4" t="str">
        <f t="shared" si="45"/>
        <v>Budget</v>
      </c>
      <c r="H349" s="4">
        <f t="shared" si="51"/>
        <v>3.8759999999999999</v>
      </c>
      <c r="I349">
        <f t="shared" si="46"/>
        <v>32.299999999999997</v>
      </c>
      <c r="J349" s="4">
        <f t="shared" si="52"/>
        <v>28.423999999999996</v>
      </c>
      <c r="K349" s="8">
        <f t="shared" si="53"/>
        <v>0.88</v>
      </c>
      <c r="L349" t="s">
        <v>15</v>
      </c>
      <c r="M349" s="2">
        <v>45814.941111111111</v>
      </c>
      <c r="N349" s="3">
        <v>45814.941111111111</v>
      </c>
      <c r="O349" t="str">
        <f t="shared" si="47"/>
        <v>Jun</v>
      </c>
      <c r="P349" t="str">
        <f t="shared" si="48"/>
        <v>Fri</v>
      </c>
      <c r="Q349" t="str">
        <f t="shared" si="49"/>
        <v>Weekend</v>
      </c>
      <c r="R349">
        <f t="shared" si="50"/>
        <v>22</v>
      </c>
      <c r="S349" t="s">
        <v>529</v>
      </c>
    </row>
    <row r="350" spans="1:19" x14ac:dyDescent="0.25">
      <c r="A350">
        <v>9969</v>
      </c>
      <c r="B350" t="s">
        <v>381</v>
      </c>
      <c r="C350" t="s">
        <v>35</v>
      </c>
      <c r="D350" t="s">
        <v>22</v>
      </c>
      <c r="E350">
        <v>3</v>
      </c>
      <c r="F350" s="4">
        <v>9.42</v>
      </c>
      <c r="G350" s="4" t="str">
        <f t="shared" si="45"/>
        <v>Budget</v>
      </c>
      <c r="H350" s="4">
        <f t="shared" si="51"/>
        <v>5.6520000000000001</v>
      </c>
      <c r="I350">
        <f t="shared" si="46"/>
        <v>28.259999999999998</v>
      </c>
      <c r="J350" s="4">
        <f t="shared" si="52"/>
        <v>22.607999999999997</v>
      </c>
      <c r="K350" s="8">
        <f t="shared" si="53"/>
        <v>0.79999999999999993</v>
      </c>
      <c r="L350" t="s">
        <v>15</v>
      </c>
      <c r="M350" s="2">
        <v>45815.38212962963</v>
      </c>
      <c r="N350" s="3">
        <v>45815.38212962963</v>
      </c>
      <c r="O350" t="str">
        <f t="shared" si="47"/>
        <v>Jun</v>
      </c>
      <c r="P350" t="str">
        <f t="shared" si="48"/>
        <v>Sat</v>
      </c>
      <c r="Q350" t="str">
        <f t="shared" si="49"/>
        <v>Weekend</v>
      </c>
      <c r="R350">
        <f t="shared" si="50"/>
        <v>9</v>
      </c>
      <c r="S350" t="s">
        <v>527</v>
      </c>
    </row>
    <row r="351" spans="1:19" x14ac:dyDescent="0.25">
      <c r="A351">
        <v>6920</v>
      </c>
      <c r="B351" t="s">
        <v>466</v>
      </c>
      <c r="C351" t="s">
        <v>35</v>
      </c>
      <c r="D351" t="s">
        <v>22</v>
      </c>
      <c r="E351">
        <v>3</v>
      </c>
      <c r="F351" s="4">
        <v>17.36</v>
      </c>
      <c r="G351" s="4" t="str">
        <f t="shared" si="45"/>
        <v>Mid-Range</v>
      </c>
      <c r="H351" s="4">
        <f t="shared" si="51"/>
        <v>10.415999999999999</v>
      </c>
      <c r="I351">
        <f t="shared" si="46"/>
        <v>52.08</v>
      </c>
      <c r="J351" s="4">
        <f t="shared" si="52"/>
        <v>41.664000000000001</v>
      </c>
      <c r="K351" s="8">
        <f t="shared" si="53"/>
        <v>0.8</v>
      </c>
      <c r="L351" t="s">
        <v>11</v>
      </c>
      <c r="M351" s="2">
        <v>45815.471215277779</v>
      </c>
      <c r="N351" s="3">
        <v>45815.471215277779</v>
      </c>
      <c r="O351" t="str">
        <f t="shared" si="47"/>
        <v>Jun</v>
      </c>
      <c r="P351" t="str">
        <f t="shared" si="48"/>
        <v>Sat</v>
      </c>
      <c r="Q351" t="str">
        <f t="shared" si="49"/>
        <v>Weekend</v>
      </c>
      <c r="R351">
        <f t="shared" si="50"/>
        <v>11</v>
      </c>
      <c r="S351" t="s">
        <v>527</v>
      </c>
    </row>
    <row r="352" spans="1:19" x14ac:dyDescent="0.25">
      <c r="A352">
        <v>3304</v>
      </c>
      <c r="B352" t="s">
        <v>312</v>
      </c>
      <c r="C352" t="s">
        <v>9</v>
      </c>
      <c r="D352" t="s">
        <v>10</v>
      </c>
      <c r="E352">
        <v>5</v>
      </c>
      <c r="F352" s="4">
        <v>24.02</v>
      </c>
      <c r="G352" s="4" t="str">
        <f t="shared" si="45"/>
        <v>Premium</v>
      </c>
      <c r="H352" s="4">
        <f t="shared" si="51"/>
        <v>14.411999999999999</v>
      </c>
      <c r="I352">
        <f t="shared" si="46"/>
        <v>120.1</v>
      </c>
      <c r="J352" s="4">
        <f t="shared" si="52"/>
        <v>105.68799999999999</v>
      </c>
      <c r="K352" s="8">
        <f t="shared" si="53"/>
        <v>0.87999999999999989</v>
      </c>
      <c r="L352" t="s">
        <v>19</v>
      </c>
      <c r="M352" s="2">
        <v>45815.670856481483</v>
      </c>
      <c r="N352" s="3">
        <v>45815.670856481483</v>
      </c>
      <c r="O352" t="str">
        <f t="shared" si="47"/>
        <v>Jun</v>
      </c>
      <c r="P352" t="str">
        <f t="shared" si="48"/>
        <v>Sat</v>
      </c>
      <c r="Q352" t="str">
        <f t="shared" si="49"/>
        <v>Weekend</v>
      </c>
      <c r="R352">
        <f t="shared" si="50"/>
        <v>16</v>
      </c>
      <c r="S352" t="s">
        <v>528</v>
      </c>
    </row>
    <row r="353" spans="1:19" x14ac:dyDescent="0.25">
      <c r="A353">
        <v>3082</v>
      </c>
      <c r="B353" t="s">
        <v>12</v>
      </c>
      <c r="C353" t="s">
        <v>13</v>
      </c>
      <c r="D353" t="s">
        <v>14</v>
      </c>
      <c r="E353">
        <v>4</v>
      </c>
      <c r="F353" s="4">
        <v>17.27</v>
      </c>
      <c r="G353" s="4" t="str">
        <f t="shared" si="45"/>
        <v>Mid-Range</v>
      </c>
      <c r="H353" s="4">
        <f t="shared" si="51"/>
        <v>10.362</v>
      </c>
      <c r="I353">
        <f t="shared" si="46"/>
        <v>69.08</v>
      </c>
      <c r="J353" s="4">
        <f t="shared" si="52"/>
        <v>58.717999999999996</v>
      </c>
      <c r="K353" s="8">
        <f t="shared" si="53"/>
        <v>0.85</v>
      </c>
      <c r="L353" t="s">
        <v>15</v>
      </c>
      <c r="M353" s="2">
        <v>45816.456793981481</v>
      </c>
      <c r="N353" s="3">
        <v>45816.456793981481</v>
      </c>
      <c r="O353" t="str">
        <f t="shared" si="47"/>
        <v>Jun</v>
      </c>
      <c r="P353" t="str">
        <f t="shared" si="48"/>
        <v>Sun</v>
      </c>
      <c r="Q353" t="str">
        <f t="shared" si="49"/>
        <v>Weekday</v>
      </c>
      <c r="R353">
        <f t="shared" si="50"/>
        <v>10</v>
      </c>
      <c r="S353" t="s">
        <v>527</v>
      </c>
    </row>
    <row r="354" spans="1:19" x14ac:dyDescent="0.25">
      <c r="A354">
        <v>8700</v>
      </c>
      <c r="B354" t="s">
        <v>434</v>
      </c>
      <c r="C354" t="s">
        <v>37</v>
      </c>
      <c r="D354" t="s">
        <v>10</v>
      </c>
      <c r="E354">
        <v>1</v>
      </c>
      <c r="F354" s="4">
        <v>6.27</v>
      </c>
      <c r="G354" s="4" t="str">
        <f t="shared" si="45"/>
        <v>Budget</v>
      </c>
      <c r="H354" s="4">
        <f t="shared" si="51"/>
        <v>3.7619999999999996</v>
      </c>
      <c r="I354">
        <f t="shared" si="46"/>
        <v>6.27</v>
      </c>
      <c r="J354" s="4">
        <f t="shared" si="52"/>
        <v>2.508</v>
      </c>
      <c r="K354" s="8">
        <f t="shared" si="53"/>
        <v>0.4</v>
      </c>
      <c r="L354" t="s">
        <v>17</v>
      </c>
      <c r="M354" s="2">
        <v>45816.538182870368</v>
      </c>
      <c r="N354" s="3">
        <v>45816.538182870368</v>
      </c>
      <c r="O354" t="str">
        <f t="shared" si="47"/>
        <v>Jun</v>
      </c>
      <c r="P354" t="str">
        <f t="shared" si="48"/>
        <v>Sun</v>
      </c>
      <c r="Q354" t="str">
        <f t="shared" si="49"/>
        <v>Weekday</v>
      </c>
      <c r="R354">
        <f t="shared" si="50"/>
        <v>12</v>
      </c>
      <c r="S354" t="s">
        <v>528</v>
      </c>
    </row>
    <row r="355" spans="1:19" x14ac:dyDescent="0.25">
      <c r="A355">
        <v>1430</v>
      </c>
      <c r="B355" t="s">
        <v>81</v>
      </c>
      <c r="C355" t="s">
        <v>21</v>
      </c>
      <c r="D355" t="s">
        <v>22</v>
      </c>
      <c r="E355">
        <v>1</v>
      </c>
      <c r="F355" s="4">
        <v>17.38</v>
      </c>
      <c r="G355" s="4" t="str">
        <f t="shared" si="45"/>
        <v>Mid-Range</v>
      </c>
      <c r="H355" s="4">
        <f t="shared" si="51"/>
        <v>10.427999999999999</v>
      </c>
      <c r="I355">
        <f t="shared" si="46"/>
        <v>17.38</v>
      </c>
      <c r="J355" s="4">
        <f t="shared" si="52"/>
        <v>6.952</v>
      </c>
      <c r="K355" s="8">
        <f t="shared" si="53"/>
        <v>0.4</v>
      </c>
      <c r="L355" t="s">
        <v>17</v>
      </c>
      <c r="M355" s="2">
        <v>45817.412164351852</v>
      </c>
      <c r="N355" s="3">
        <v>45817.412164351852</v>
      </c>
      <c r="O355" t="str">
        <f t="shared" si="47"/>
        <v>Jun</v>
      </c>
      <c r="P355" t="str">
        <f t="shared" si="48"/>
        <v>Mon</v>
      </c>
      <c r="Q355" t="str">
        <f t="shared" si="49"/>
        <v>Weekday</v>
      </c>
      <c r="R355">
        <f t="shared" si="50"/>
        <v>9</v>
      </c>
      <c r="S355" t="s">
        <v>527</v>
      </c>
    </row>
    <row r="356" spans="1:19" x14ac:dyDescent="0.25">
      <c r="A356">
        <v>3257</v>
      </c>
      <c r="B356" t="s">
        <v>88</v>
      </c>
      <c r="C356" t="s">
        <v>13</v>
      </c>
      <c r="D356" t="s">
        <v>14</v>
      </c>
      <c r="E356">
        <v>5</v>
      </c>
      <c r="F356" s="4">
        <v>12.07</v>
      </c>
      <c r="G356" s="4" t="str">
        <f t="shared" si="45"/>
        <v>Mid-Range</v>
      </c>
      <c r="H356" s="4">
        <f t="shared" si="51"/>
        <v>7.242</v>
      </c>
      <c r="I356">
        <f t="shared" si="46"/>
        <v>60.35</v>
      </c>
      <c r="J356" s="4">
        <f t="shared" si="52"/>
        <v>53.108000000000004</v>
      </c>
      <c r="K356" s="8">
        <f t="shared" si="53"/>
        <v>0.88</v>
      </c>
      <c r="L356" t="s">
        <v>19</v>
      </c>
      <c r="M356" s="2">
        <v>45818.175335648149</v>
      </c>
      <c r="N356" s="3">
        <v>45818.175335648149</v>
      </c>
      <c r="O356" t="str">
        <f t="shared" si="47"/>
        <v>Jun</v>
      </c>
      <c r="P356" t="str">
        <f t="shared" si="48"/>
        <v>Tue</v>
      </c>
      <c r="Q356" t="str">
        <f t="shared" si="49"/>
        <v>Weekday</v>
      </c>
      <c r="R356">
        <f t="shared" si="50"/>
        <v>4</v>
      </c>
      <c r="S356" t="s">
        <v>527</v>
      </c>
    </row>
    <row r="357" spans="1:19" x14ac:dyDescent="0.25">
      <c r="A357">
        <v>5318</v>
      </c>
      <c r="B357" t="s">
        <v>505</v>
      </c>
      <c r="C357" t="s">
        <v>30</v>
      </c>
      <c r="D357" t="s">
        <v>10</v>
      </c>
      <c r="E357">
        <v>5</v>
      </c>
      <c r="F357" s="4">
        <v>2.15</v>
      </c>
      <c r="G357" s="4" t="str">
        <f t="shared" si="45"/>
        <v>Budget</v>
      </c>
      <c r="H357" s="4">
        <f t="shared" si="51"/>
        <v>1.2899999999999998</v>
      </c>
      <c r="I357">
        <f t="shared" si="46"/>
        <v>10.75</v>
      </c>
      <c r="J357" s="4">
        <f t="shared" si="52"/>
        <v>9.4600000000000009</v>
      </c>
      <c r="K357" s="8">
        <f t="shared" si="53"/>
        <v>0.88000000000000012</v>
      </c>
      <c r="L357" t="s">
        <v>17</v>
      </c>
      <c r="M357" s="2">
        <v>45818.565023148149</v>
      </c>
      <c r="N357" s="3">
        <v>45818.565023148149</v>
      </c>
      <c r="O357" t="str">
        <f t="shared" si="47"/>
        <v>Jun</v>
      </c>
      <c r="P357" t="str">
        <f t="shared" si="48"/>
        <v>Tue</v>
      </c>
      <c r="Q357" t="str">
        <f t="shared" si="49"/>
        <v>Weekday</v>
      </c>
      <c r="R357">
        <f t="shared" si="50"/>
        <v>13</v>
      </c>
      <c r="S357" t="s">
        <v>528</v>
      </c>
    </row>
    <row r="358" spans="1:19" x14ac:dyDescent="0.25">
      <c r="A358">
        <v>7636</v>
      </c>
      <c r="B358" t="s">
        <v>124</v>
      </c>
      <c r="C358" t="s">
        <v>9</v>
      </c>
      <c r="D358" t="s">
        <v>10</v>
      </c>
      <c r="E358">
        <v>4</v>
      </c>
      <c r="F358" s="4">
        <v>18.54</v>
      </c>
      <c r="G358" s="4" t="str">
        <f t="shared" si="45"/>
        <v>Mid-Range</v>
      </c>
      <c r="H358" s="4">
        <f t="shared" si="51"/>
        <v>11.123999999999999</v>
      </c>
      <c r="I358">
        <f t="shared" si="46"/>
        <v>74.16</v>
      </c>
      <c r="J358" s="4">
        <f t="shared" si="52"/>
        <v>63.036000000000001</v>
      </c>
      <c r="K358" s="8">
        <f t="shared" si="53"/>
        <v>0.85000000000000009</v>
      </c>
      <c r="L358" t="s">
        <v>17</v>
      </c>
      <c r="M358" s="2">
        <v>45819.148020833331</v>
      </c>
      <c r="N358" s="3">
        <v>45819.148020833331</v>
      </c>
      <c r="O358" t="str">
        <f t="shared" si="47"/>
        <v>Jun</v>
      </c>
      <c r="P358" t="str">
        <f t="shared" si="48"/>
        <v>Wed</v>
      </c>
      <c r="Q358" t="str">
        <f t="shared" si="49"/>
        <v>Weekday</v>
      </c>
      <c r="R358">
        <f t="shared" si="50"/>
        <v>3</v>
      </c>
      <c r="S358" t="s">
        <v>527</v>
      </c>
    </row>
    <row r="359" spans="1:19" x14ac:dyDescent="0.25">
      <c r="A359">
        <v>3217</v>
      </c>
      <c r="B359" t="s">
        <v>210</v>
      </c>
      <c r="C359" t="s">
        <v>13</v>
      </c>
      <c r="D359" t="s">
        <v>14</v>
      </c>
      <c r="E359">
        <v>4</v>
      </c>
      <c r="F359" s="4">
        <v>9.4</v>
      </c>
      <c r="G359" s="4" t="str">
        <f t="shared" si="45"/>
        <v>Budget</v>
      </c>
      <c r="H359" s="4">
        <f t="shared" si="51"/>
        <v>5.64</v>
      </c>
      <c r="I359">
        <f t="shared" si="46"/>
        <v>37.6</v>
      </c>
      <c r="J359" s="4">
        <f t="shared" si="52"/>
        <v>31.96</v>
      </c>
      <c r="K359" s="8">
        <f t="shared" si="53"/>
        <v>0.85</v>
      </c>
      <c r="L359" t="s">
        <v>15</v>
      </c>
      <c r="M359" s="2">
        <v>45819.60292824074</v>
      </c>
      <c r="N359" s="3">
        <v>45819.60292824074</v>
      </c>
      <c r="O359" t="str">
        <f t="shared" si="47"/>
        <v>Jun</v>
      </c>
      <c r="P359" t="str">
        <f t="shared" si="48"/>
        <v>Wed</v>
      </c>
      <c r="Q359" t="str">
        <f t="shared" si="49"/>
        <v>Weekday</v>
      </c>
      <c r="R359">
        <f t="shared" si="50"/>
        <v>14</v>
      </c>
      <c r="S359" t="s">
        <v>528</v>
      </c>
    </row>
    <row r="360" spans="1:19" x14ac:dyDescent="0.25">
      <c r="A360">
        <v>1383</v>
      </c>
      <c r="B360" t="s">
        <v>353</v>
      </c>
      <c r="C360" t="s">
        <v>28</v>
      </c>
      <c r="D360" t="s">
        <v>14</v>
      </c>
      <c r="E360">
        <v>2</v>
      </c>
      <c r="F360" s="4">
        <v>23.5</v>
      </c>
      <c r="G360" s="4" t="str">
        <f t="shared" si="45"/>
        <v>Premium</v>
      </c>
      <c r="H360" s="4">
        <f t="shared" si="51"/>
        <v>14.1</v>
      </c>
      <c r="I360">
        <f t="shared" si="46"/>
        <v>47</v>
      </c>
      <c r="J360" s="4">
        <f t="shared" si="52"/>
        <v>32.9</v>
      </c>
      <c r="K360" s="8">
        <f t="shared" si="53"/>
        <v>0.7</v>
      </c>
      <c r="L360" t="s">
        <v>19</v>
      </c>
      <c r="M360" s="2">
        <v>45820.917222222219</v>
      </c>
      <c r="N360" s="3">
        <v>45820.917222222219</v>
      </c>
      <c r="O360" t="str">
        <f t="shared" si="47"/>
        <v>Jun</v>
      </c>
      <c r="P360" t="str">
        <f t="shared" si="48"/>
        <v>Thu</v>
      </c>
      <c r="Q360" t="str">
        <f t="shared" si="49"/>
        <v>Weekday</v>
      </c>
      <c r="R360">
        <f t="shared" si="50"/>
        <v>22</v>
      </c>
      <c r="S360" t="s">
        <v>529</v>
      </c>
    </row>
    <row r="361" spans="1:19" x14ac:dyDescent="0.25">
      <c r="A361">
        <v>9816</v>
      </c>
      <c r="B361" t="s">
        <v>308</v>
      </c>
      <c r="C361" t="s">
        <v>30</v>
      </c>
      <c r="D361" t="s">
        <v>10</v>
      </c>
      <c r="E361">
        <v>5</v>
      </c>
      <c r="F361" s="4">
        <v>5.63</v>
      </c>
      <c r="G361" s="4" t="str">
        <f t="shared" si="45"/>
        <v>Budget</v>
      </c>
      <c r="H361" s="4">
        <f t="shared" si="51"/>
        <v>3.3779999999999997</v>
      </c>
      <c r="I361">
        <f t="shared" si="46"/>
        <v>28.15</v>
      </c>
      <c r="J361" s="4">
        <f t="shared" si="52"/>
        <v>24.771999999999998</v>
      </c>
      <c r="K361" s="8">
        <f t="shared" si="53"/>
        <v>0.88</v>
      </c>
      <c r="L361" t="s">
        <v>11</v>
      </c>
      <c r="M361" s="2">
        <v>45821.154039351852</v>
      </c>
      <c r="N361" s="3">
        <v>45821.154039351852</v>
      </c>
      <c r="O361" t="str">
        <f t="shared" si="47"/>
        <v>Jun</v>
      </c>
      <c r="P361" t="str">
        <f t="shared" si="48"/>
        <v>Fri</v>
      </c>
      <c r="Q361" t="str">
        <f t="shared" si="49"/>
        <v>Weekend</v>
      </c>
      <c r="R361">
        <f t="shared" si="50"/>
        <v>3</v>
      </c>
      <c r="S361" t="s">
        <v>527</v>
      </c>
    </row>
    <row r="362" spans="1:19" x14ac:dyDescent="0.25">
      <c r="A362">
        <v>1388</v>
      </c>
      <c r="B362" t="s">
        <v>426</v>
      </c>
      <c r="C362" t="s">
        <v>28</v>
      </c>
      <c r="D362" t="s">
        <v>14</v>
      </c>
      <c r="E362">
        <v>4</v>
      </c>
      <c r="F362" s="4">
        <v>22.78</v>
      </c>
      <c r="G362" s="4" t="str">
        <f t="shared" si="45"/>
        <v>Premium</v>
      </c>
      <c r="H362" s="4">
        <f t="shared" si="51"/>
        <v>13.668000000000001</v>
      </c>
      <c r="I362">
        <f t="shared" si="46"/>
        <v>91.12</v>
      </c>
      <c r="J362" s="4">
        <f t="shared" si="52"/>
        <v>77.451999999999998</v>
      </c>
      <c r="K362" s="8">
        <f t="shared" si="53"/>
        <v>0.85</v>
      </c>
      <c r="L362" t="s">
        <v>11</v>
      </c>
      <c r="M362" s="2">
        <v>45821.640428240738</v>
      </c>
      <c r="N362" s="3">
        <v>45821.640428240738</v>
      </c>
      <c r="O362" t="str">
        <f t="shared" si="47"/>
        <v>Jun</v>
      </c>
      <c r="P362" t="str">
        <f t="shared" si="48"/>
        <v>Fri</v>
      </c>
      <c r="Q362" t="str">
        <f t="shared" si="49"/>
        <v>Weekend</v>
      </c>
      <c r="R362">
        <f t="shared" si="50"/>
        <v>15</v>
      </c>
      <c r="S362" t="s">
        <v>528</v>
      </c>
    </row>
    <row r="363" spans="1:19" x14ac:dyDescent="0.25">
      <c r="A363">
        <v>6789</v>
      </c>
      <c r="B363" t="s">
        <v>174</v>
      </c>
      <c r="C363" t="s">
        <v>13</v>
      </c>
      <c r="D363" t="s">
        <v>14</v>
      </c>
      <c r="E363">
        <v>5</v>
      </c>
      <c r="F363" s="4">
        <v>22.18</v>
      </c>
      <c r="G363" s="4" t="str">
        <f t="shared" si="45"/>
        <v>Premium</v>
      </c>
      <c r="H363" s="4">
        <f t="shared" si="51"/>
        <v>13.308</v>
      </c>
      <c r="I363">
        <f t="shared" si="46"/>
        <v>110.9</v>
      </c>
      <c r="J363" s="4">
        <f t="shared" si="52"/>
        <v>97.592000000000013</v>
      </c>
      <c r="K363" s="8">
        <f t="shared" si="53"/>
        <v>0.88000000000000012</v>
      </c>
      <c r="L363" t="s">
        <v>11</v>
      </c>
      <c r="M363" s="2">
        <v>45822.622800925928</v>
      </c>
      <c r="N363" s="3">
        <v>45822.622800925928</v>
      </c>
      <c r="O363" t="str">
        <f t="shared" si="47"/>
        <v>Jun</v>
      </c>
      <c r="P363" t="str">
        <f t="shared" si="48"/>
        <v>Sat</v>
      </c>
      <c r="Q363" t="str">
        <f t="shared" si="49"/>
        <v>Weekend</v>
      </c>
      <c r="R363">
        <f t="shared" si="50"/>
        <v>14</v>
      </c>
      <c r="S363" t="s">
        <v>528</v>
      </c>
    </row>
    <row r="364" spans="1:19" x14ac:dyDescent="0.25">
      <c r="A364">
        <v>7920</v>
      </c>
      <c r="B364" t="s">
        <v>470</v>
      </c>
      <c r="C364" t="s">
        <v>21</v>
      </c>
      <c r="D364" t="s">
        <v>22</v>
      </c>
      <c r="E364">
        <v>1</v>
      </c>
      <c r="F364" s="4">
        <v>6.65</v>
      </c>
      <c r="G364" s="4" t="str">
        <f t="shared" si="45"/>
        <v>Budget</v>
      </c>
      <c r="H364" s="4">
        <f t="shared" si="51"/>
        <v>3.99</v>
      </c>
      <c r="I364">
        <f t="shared" si="46"/>
        <v>6.65</v>
      </c>
      <c r="J364" s="4">
        <f t="shared" si="52"/>
        <v>2.66</v>
      </c>
      <c r="K364" s="8">
        <f t="shared" si="53"/>
        <v>0.4</v>
      </c>
      <c r="L364" t="s">
        <v>15</v>
      </c>
      <c r="M364" s="2">
        <v>45822.837060185186</v>
      </c>
      <c r="N364" s="3">
        <v>45822.837060185186</v>
      </c>
      <c r="O364" t="str">
        <f t="shared" si="47"/>
        <v>Jun</v>
      </c>
      <c r="P364" t="str">
        <f t="shared" si="48"/>
        <v>Sat</v>
      </c>
      <c r="Q364" t="str">
        <f t="shared" si="49"/>
        <v>Weekend</v>
      </c>
      <c r="R364">
        <f t="shared" si="50"/>
        <v>20</v>
      </c>
      <c r="S364" t="s">
        <v>529</v>
      </c>
    </row>
    <row r="365" spans="1:19" x14ac:dyDescent="0.25">
      <c r="A365">
        <v>9879</v>
      </c>
      <c r="B365" t="s">
        <v>406</v>
      </c>
      <c r="C365" t="s">
        <v>33</v>
      </c>
      <c r="D365" t="s">
        <v>14</v>
      </c>
      <c r="E365">
        <v>3</v>
      </c>
      <c r="F365" s="4">
        <v>4.05</v>
      </c>
      <c r="G365" s="4" t="str">
        <f t="shared" si="45"/>
        <v>Budget</v>
      </c>
      <c r="H365" s="4">
        <f t="shared" si="51"/>
        <v>2.4299999999999997</v>
      </c>
      <c r="I365">
        <f t="shared" si="46"/>
        <v>12.149999999999999</v>
      </c>
      <c r="J365" s="4">
        <f t="shared" si="52"/>
        <v>9.7199999999999989</v>
      </c>
      <c r="K365" s="8">
        <f t="shared" si="53"/>
        <v>0.8</v>
      </c>
      <c r="L365" t="s">
        <v>11</v>
      </c>
      <c r="M365" s="2">
        <v>45823.2190162037</v>
      </c>
      <c r="N365" s="3">
        <v>45823.2190162037</v>
      </c>
      <c r="O365" t="str">
        <f t="shared" si="47"/>
        <v>Jun</v>
      </c>
      <c r="P365" t="str">
        <f t="shared" si="48"/>
        <v>Sun</v>
      </c>
      <c r="Q365" t="str">
        <f t="shared" si="49"/>
        <v>Weekday</v>
      </c>
      <c r="R365">
        <f t="shared" si="50"/>
        <v>5</v>
      </c>
      <c r="S365" t="s">
        <v>527</v>
      </c>
    </row>
    <row r="366" spans="1:19" x14ac:dyDescent="0.25">
      <c r="A366">
        <v>9294</v>
      </c>
      <c r="B366" t="s">
        <v>483</v>
      </c>
      <c r="C366" t="s">
        <v>40</v>
      </c>
      <c r="D366" t="s">
        <v>22</v>
      </c>
      <c r="E366">
        <v>4</v>
      </c>
      <c r="F366" s="4">
        <v>17.29</v>
      </c>
      <c r="G366" s="4" t="str">
        <f t="shared" si="45"/>
        <v>Mid-Range</v>
      </c>
      <c r="H366" s="4">
        <f t="shared" si="51"/>
        <v>10.373999999999999</v>
      </c>
      <c r="I366">
        <f t="shared" si="46"/>
        <v>69.16</v>
      </c>
      <c r="J366" s="4">
        <f t="shared" si="52"/>
        <v>58.786000000000001</v>
      </c>
      <c r="K366" s="8">
        <f t="shared" si="53"/>
        <v>0.85000000000000009</v>
      </c>
      <c r="L366" t="s">
        <v>15</v>
      </c>
      <c r="M366" s="2">
        <v>45823.291631944441</v>
      </c>
      <c r="N366" s="3">
        <v>45823.291631944441</v>
      </c>
      <c r="O366" t="str">
        <f t="shared" si="47"/>
        <v>Jun</v>
      </c>
      <c r="P366" t="str">
        <f t="shared" si="48"/>
        <v>Sun</v>
      </c>
      <c r="Q366" t="str">
        <f t="shared" si="49"/>
        <v>Weekday</v>
      </c>
      <c r="R366">
        <f t="shared" si="50"/>
        <v>6</v>
      </c>
      <c r="S366" t="s">
        <v>527</v>
      </c>
    </row>
    <row r="367" spans="1:19" x14ac:dyDescent="0.25">
      <c r="A367">
        <v>2229</v>
      </c>
      <c r="B367" t="s">
        <v>201</v>
      </c>
      <c r="C367" t="s">
        <v>30</v>
      </c>
      <c r="D367" t="s">
        <v>10</v>
      </c>
      <c r="E367">
        <v>1</v>
      </c>
      <c r="F367" s="4">
        <v>17.97</v>
      </c>
      <c r="G367" s="4" t="str">
        <f t="shared" si="45"/>
        <v>Mid-Range</v>
      </c>
      <c r="H367" s="4">
        <f t="shared" si="51"/>
        <v>10.781999999999998</v>
      </c>
      <c r="I367">
        <f t="shared" si="46"/>
        <v>17.97</v>
      </c>
      <c r="J367" s="4">
        <f t="shared" si="52"/>
        <v>7.1880000000000006</v>
      </c>
      <c r="K367" s="8">
        <f t="shared" si="53"/>
        <v>0.40000000000000008</v>
      </c>
      <c r="L367" t="s">
        <v>11</v>
      </c>
      <c r="M367" s="2">
        <v>45823.62940972222</v>
      </c>
      <c r="N367" s="3">
        <v>45823.62940972222</v>
      </c>
      <c r="O367" t="str">
        <f t="shared" si="47"/>
        <v>Jun</v>
      </c>
      <c r="P367" t="str">
        <f t="shared" si="48"/>
        <v>Sun</v>
      </c>
      <c r="Q367" t="str">
        <f t="shared" si="49"/>
        <v>Weekday</v>
      </c>
      <c r="R367">
        <f t="shared" si="50"/>
        <v>15</v>
      </c>
      <c r="S367" t="s">
        <v>528</v>
      </c>
    </row>
    <row r="368" spans="1:19" x14ac:dyDescent="0.25">
      <c r="A368">
        <v>8786</v>
      </c>
      <c r="B368" t="s">
        <v>512</v>
      </c>
      <c r="C368" t="s">
        <v>33</v>
      </c>
      <c r="D368" t="s">
        <v>14</v>
      </c>
      <c r="E368">
        <v>2</v>
      </c>
      <c r="F368" s="4">
        <v>2.27</v>
      </c>
      <c r="G368" s="4" t="str">
        <f t="shared" si="45"/>
        <v>Budget</v>
      </c>
      <c r="H368" s="4">
        <f t="shared" si="51"/>
        <v>1.3619999999999999</v>
      </c>
      <c r="I368">
        <f t="shared" si="46"/>
        <v>4.54</v>
      </c>
      <c r="J368" s="4">
        <f t="shared" si="52"/>
        <v>3.1779999999999999</v>
      </c>
      <c r="K368" s="8">
        <f t="shared" si="53"/>
        <v>0.7</v>
      </c>
      <c r="L368" t="s">
        <v>15</v>
      </c>
      <c r="M368" s="2">
        <v>45823.723194444443</v>
      </c>
      <c r="N368" s="3">
        <v>45823.723194444443</v>
      </c>
      <c r="O368" t="str">
        <f t="shared" si="47"/>
        <v>Jun</v>
      </c>
      <c r="P368" t="str">
        <f t="shared" si="48"/>
        <v>Sun</v>
      </c>
      <c r="Q368" t="str">
        <f t="shared" si="49"/>
        <v>Weekday</v>
      </c>
      <c r="R368">
        <f t="shared" si="50"/>
        <v>17</v>
      </c>
      <c r="S368" t="s">
        <v>528</v>
      </c>
    </row>
    <row r="369" spans="1:19" x14ac:dyDescent="0.25">
      <c r="A369">
        <v>9369</v>
      </c>
      <c r="B369" t="s">
        <v>341</v>
      </c>
      <c r="C369" t="s">
        <v>30</v>
      </c>
      <c r="D369" t="s">
        <v>10</v>
      </c>
      <c r="E369">
        <v>5</v>
      </c>
      <c r="F369" s="4">
        <v>20.75</v>
      </c>
      <c r="G369" s="4" t="str">
        <f t="shared" si="45"/>
        <v>Premium</v>
      </c>
      <c r="H369" s="4">
        <f t="shared" si="51"/>
        <v>12.45</v>
      </c>
      <c r="I369">
        <f t="shared" si="46"/>
        <v>103.75</v>
      </c>
      <c r="J369" s="4">
        <f t="shared" si="52"/>
        <v>91.3</v>
      </c>
      <c r="K369" s="8">
        <f t="shared" si="53"/>
        <v>0.88</v>
      </c>
      <c r="L369" t="s">
        <v>17</v>
      </c>
      <c r="M369" s="2">
        <v>45823.961354166669</v>
      </c>
      <c r="N369" s="3">
        <v>45823.961354166669</v>
      </c>
      <c r="O369" t="str">
        <f t="shared" si="47"/>
        <v>Jun</v>
      </c>
      <c r="P369" t="str">
        <f t="shared" si="48"/>
        <v>Sun</v>
      </c>
      <c r="Q369" t="str">
        <f t="shared" si="49"/>
        <v>Weekday</v>
      </c>
      <c r="R369">
        <f t="shared" si="50"/>
        <v>23</v>
      </c>
      <c r="S369" t="s">
        <v>529</v>
      </c>
    </row>
    <row r="370" spans="1:19" x14ac:dyDescent="0.25">
      <c r="A370">
        <v>4274</v>
      </c>
      <c r="B370" t="s">
        <v>297</v>
      </c>
      <c r="C370" t="s">
        <v>30</v>
      </c>
      <c r="D370" t="s">
        <v>10</v>
      </c>
      <c r="E370">
        <v>4</v>
      </c>
      <c r="F370" s="4">
        <v>8.19</v>
      </c>
      <c r="G370" s="4" t="str">
        <f t="shared" si="45"/>
        <v>Budget</v>
      </c>
      <c r="H370" s="4">
        <f t="shared" si="51"/>
        <v>4.9139999999999997</v>
      </c>
      <c r="I370">
        <f t="shared" si="46"/>
        <v>32.76</v>
      </c>
      <c r="J370" s="4">
        <f t="shared" si="52"/>
        <v>27.845999999999997</v>
      </c>
      <c r="K370" s="8">
        <f t="shared" si="53"/>
        <v>0.85</v>
      </c>
      <c r="L370" t="s">
        <v>19</v>
      </c>
      <c r="M370" s="2">
        <v>45824.168749999997</v>
      </c>
      <c r="N370" s="3">
        <v>45824.168749999997</v>
      </c>
      <c r="O370" t="str">
        <f t="shared" si="47"/>
        <v>Jun</v>
      </c>
      <c r="P370" t="str">
        <f t="shared" si="48"/>
        <v>Mon</v>
      </c>
      <c r="Q370" t="str">
        <f t="shared" si="49"/>
        <v>Weekday</v>
      </c>
      <c r="R370">
        <f t="shared" si="50"/>
        <v>4</v>
      </c>
      <c r="S370" t="s">
        <v>527</v>
      </c>
    </row>
    <row r="371" spans="1:19" x14ac:dyDescent="0.25">
      <c r="A371">
        <v>8137</v>
      </c>
      <c r="B371" t="s">
        <v>270</v>
      </c>
      <c r="C371" t="s">
        <v>30</v>
      </c>
      <c r="D371" t="s">
        <v>10</v>
      </c>
      <c r="E371">
        <v>5</v>
      </c>
      <c r="F371" s="4">
        <v>22.71</v>
      </c>
      <c r="G371" s="4" t="str">
        <f t="shared" si="45"/>
        <v>Premium</v>
      </c>
      <c r="H371" s="4">
        <f t="shared" si="51"/>
        <v>13.625999999999999</v>
      </c>
      <c r="I371">
        <f t="shared" si="46"/>
        <v>113.55000000000001</v>
      </c>
      <c r="J371" s="4">
        <f t="shared" si="52"/>
        <v>99.924000000000007</v>
      </c>
      <c r="K371" s="8">
        <f t="shared" si="53"/>
        <v>0.88</v>
      </c>
      <c r="L371" t="s">
        <v>19</v>
      </c>
      <c r="M371" s="2">
        <v>45824.332986111112</v>
      </c>
      <c r="N371" s="3">
        <v>45824.332986111112</v>
      </c>
      <c r="O371" t="str">
        <f t="shared" si="47"/>
        <v>Jun</v>
      </c>
      <c r="P371" t="str">
        <f t="shared" si="48"/>
        <v>Mon</v>
      </c>
      <c r="Q371" t="str">
        <f t="shared" si="49"/>
        <v>Weekday</v>
      </c>
      <c r="R371">
        <f t="shared" si="50"/>
        <v>7</v>
      </c>
      <c r="S371" t="s">
        <v>527</v>
      </c>
    </row>
    <row r="372" spans="1:19" x14ac:dyDescent="0.25">
      <c r="A372">
        <v>2141</v>
      </c>
      <c r="B372" t="s">
        <v>476</v>
      </c>
      <c r="C372" t="s">
        <v>37</v>
      </c>
      <c r="D372" t="s">
        <v>10</v>
      </c>
      <c r="E372">
        <v>3</v>
      </c>
      <c r="F372" s="4">
        <v>23.69</v>
      </c>
      <c r="G372" s="4" t="str">
        <f t="shared" si="45"/>
        <v>Premium</v>
      </c>
      <c r="H372" s="4">
        <f t="shared" si="51"/>
        <v>14.214</v>
      </c>
      <c r="I372">
        <f t="shared" si="46"/>
        <v>71.070000000000007</v>
      </c>
      <c r="J372" s="4">
        <f t="shared" si="52"/>
        <v>56.856000000000009</v>
      </c>
      <c r="K372" s="8">
        <f t="shared" si="53"/>
        <v>0.8</v>
      </c>
      <c r="L372" t="s">
        <v>15</v>
      </c>
      <c r="M372" s="2">
        <v>45825.488437499997</v>
      </c>
      <c r="N372" s="3">
        <v>45825.488437499997</v>
      </c>
      <c r="O372" t="str">
        <f t="shared" si="47"/>
        <v>Jun</v>
      </c>
      <c r="P372" t="str">
        <f t="shared" si="48"/>
        <v>Tue</v>
      </c>
      <c r="Q372" t="str">
        <f t="shared" si="49"/>
        <v>Weekday</v>
      </c>
      <c r="R372">
        <f t="shared" si="50"/>
        <v>11</v>
      </c>
      <c r="S372" t="s">
        <v>527</v>
      </c>
    </row>
    <row r="373" spans="1:19" x14ac:dyDescent="0.25">
      <c r="A373">
        <v>2121</v>
      </c>
      <c r="B373" t="s">
        <v>64</v>
      </c>
      <c r="C373" t="s">
        <v>30</v>
      </c>
      <c r="D373" t="s">
        <v>10</v>
      </c>
      <c r="E373">
        <v>1</v>
      </c>
      <c r="F373" s="4">
        <v>22.48</v>
      </c>
      <c r="G373" s="4" t="str">
        <f t="shared" si="45"/>
        <v>Premium</v>
      </c>
      <c r="H373" s="4">
        <f t="shared" si="51"/>
        <v>13.488</v>
      </c>
      <c r="I373">
        <f t="shared" si="46"/>
        <v>22.48</v>
      </c>
      <c r="J373" s="4">
        <f t="shared" si="52"/>
        <v>8.9920000000000009</v>
      </c>
      <c r="K373" s="8">
        <f t="shared" si="53"/>
        <v>0.4</v>
      </c>
      <c r="L373" t="s">
        <v>19</v>
      </c>
      <c r="M373" s="2">
        <v>45825.559733796297</v>
      </c>
      <c r="N373" s="3">
        <v>45825.559733796297</v>
      </c>
      <c r="O373" t="str">
        <f t="shared" si="47"/>
        <v>Jun</v>
      </c>
      <c r="P373" t="str">
        <f t="shared" si="48"/>
        <v>Tue</v>
      </c>
      <c r="Q373" t="str">
        <f t="shared" si="49"/>
        <v>Weekday</v>
      </c>
      <c r="R373">
        <f t="shared" si="50"/>
        <v>13</v>
      </c>
      <c r="S373" t="s">
        <v>528</v>
      </c>
    </row>
    <row r="374" spans="1:19" x14ac:dyDescent="0.25">
      <c r="A374">
        <v>1270</v>
      </c>
      <c r="B374" t="s">
        <v>326</v>
      </c>
      <c r="C374" t="s">
        <v>13</v>
      </c>
      <c r="D374" t="s">
        <v>14</v>
      </c>
      <c r="E374">
        <v>2</v>
      </c>
      <c r="F374" s="4">
        <v>4.0999999999999996</v>
      </c>
      <c r="G374" s="4" t="str">
        <f t="shared" si="45"/>
        <v>Budget</v>
      </c>
      <c r="H374" s="4">
        <f t="shared" si="51"/>
        <v>2.4599999999999995</v>
      </c>
      <c r="I374">
        <f t="shared" si="46"/>
        <v>8.1999999999999993</v>
      </c>
      <c r="J374" s="4">
        <f t="shared" si="52"/>
        <v>5.74</v>
      </c>
      <c r="K374" s="8">
        <f t="shared" si="53"/>
        <v>0.70000000000000007</v>
      </c>
      <c r="L374" t="s">
        <v>11</v>
      </c>
      <c r="M374" s="2">
        <v>45825.873043981483</v>
      </c>
      <c r="N374" s="3">
        <v>45825.873043981483</v>
      </c>
      <c r="O374" t="str">
        <f t="shared" si="47"/>
        <v>Jun</v>
      </c>
      <c r="P374" t="str">
        <f t="shared" si="48"/>
        <v>Tue</v>
      </c>
      <c r="Q374" t="str">
        <f t="shared" si="49"/>
        <v>Weekday</v>
      </c>
      <c r="R374">
        <f t="shared" si="50"/>
        <v>20</v>
      </c>
      <c r="S374" t="s">
        <v>529</v>
      </c>
    </row>
    <row r="375" spans="1:19" x14ac:dyDescent="0.25">
      <c r="A375">
        <v>8526</v>
      </c>
      <c r="B375" t="s">
        <v>427</v>
      </c>
      <c r="C375" t="s">
        <v>40</v>
      </c>
      <c r="D375" t="s">
        <v>22</v>
      </c>
      <c r="E375">
        <v>1</v>
      </c>
      <c r="F375" s="4">
        <v>15.84</v>
      </c>
      <c r="G375" s="4" t="str">
        <f t="shared" si="45"/>
        <v>Mid-Range</v>
      </c>
      <c r="H375" s="4">
        <f t="shared" si="51"/>
        <v>9.5039999999999996</v>
      </c>
      <c r="I375">
        <f t="shared" si="46"/>
        <v>15.84</v>
      </c>
      <c r="J375" s="4">
        <f t="shared" si="52"/>
        <v>6.3360000000000003</v>
      </c>
      <c r="K375" s="8">
        <f t="shared" si="53"/>
        <v>0.4</v>
      </c>
      <c r="L375" t="s">
        <v>11</v>
      </c>
      <c r="M375" s="2">
        <v>45825.890532407408</v>
      </c>
      <c r="N375" s="3">
        <v>45825.890532407408</v>
      </c>
      <c r="O375" t="str">
        <f t="shared" si="47"/>
        <v>Jun</v>
      </c>
      <c r="P375" t="str">
        <f t="shared" si="48"/>
        <v>Tue</v>
      </c>
      <c r="Q375" t="str">
        <f t="shared" si="49"/>
        <v>Weekday</v>
      </c>
      <c r="R375">
        <f t="shared" si="50"/>
        <v>21</v>
      </c>
      <c r="S375" t="s">
        <v>529</v>
      </c>
    </row>
    <row r="376" spans="1:19" x14ac:dyDescent="0.25">
      <c r="A376">
        <v>6918</v>
      </c>
      <c r="B376" t="s">
        <v>303</v>
      </c>
      <c r="C376" t="s">
        <v>33</v>
      </c>
      <c r="D376" t="s">
        <v>14</v>
      </c>
      <c r="E376">
        <v>3</v>
      </c>
      <c r="F376" s="4">
        <v>11.34</v>
      </c>
      <c r="G376" s="4" t="str">
        <f t="shared" si="45"/>
        <v>Mid-Range</v>
      </c>
      <c r="H376" s="4">
        <f t="shared" si="51"/>
        <v>6.8039999999999994</v>
      </c>
      <c r="I376">
        <f t="shared" si="46"/>
        <v>34.019999999999996</v>
      </c>
      <c r="J376" s="4">
        <f t="shared" si="52"/>
        <v>27.215999999999998</v>
      </c>
      <c r="K376" s="8">
        <f t="shared" si="53"/>
        <v>0.8</v>
      </c>
      <c r="L376" t="s">
        <v>11</v>
      </c>
      <c r="M376" s="2">
        <v>45826.441932870373</v>
      </c>
      <c r="N376" s="3">
        <v>45826.441932870373</v>
      </c>
      <c r="O376" t="str">
        <f t="shared" si="47"/>
        <v>Jun</v>
      </c>
      <c r="P376" t="str">
        <f t="shared" si="48"/>
        <v>Wed</v>
      </c>
      <c r="Q376" t="str">
        <f t="shared" si="49"/>
        <v>Weekday</v>
      </c>
      <c r="R376">
        <f t="shared" si="50"/>
        <v>10</v>
      </c>
      <c r="S376" t="s">
        <v>527</v>
      </c>
    </row>
    <row r="377" spans="1:19" x14ac:dyDescent="0.25">
      <c r="A377">
        <v>9154</v>
      </c>
      <c r="B377" t="s">
        <v>195</v>
      </c>
      <c r="C377" t="s">
        <v>40</v>
      </c>
      <c r="D377" t="s">
        <v>22</v>
      </c>
      <c r="E377">
        <v>3</v>
      </c>
      <c r="F377" s="4">
        <v>22.49</v>
      </c>
      <c r="G377" s="4" t="str">
        <f t="shared" si="45"/>
        <v>Premium</v>
      </c>
      <c r="H377" s="4">
        <f t="shared" si="51"/>
        <v>13.493999999999998</v>
      </c>
      <c r="I377">
        <f t="shared" si="46"/>
        <v>67.47</v>
      </c>
      <c r="J377" s="4">
        <f t="shared" si="52"/>
        <v>53.975999999999999</v>
      </c>
      <c r="K377" s="8">
        <f t="shared" si="53"/>
        <v>0.8</v>
      </c>
      <c r="L377" t="s">
        <v>17</v>
      </c>
      <c r="M377" s="2">
        <v>45826.866377314815</v>
      </c>
      <c r="N377" s="3">
        <v>45826.866377314815</v>
      </c>
      <c r="O377" t="str">
        <f t="shared" si="47"/>
        <v>Jun</v>
      </c>
      <c r="P377" t="str">
        <f t="shared" si="48"/>
        <v>Wed</v>
      </c>
      <c r="Q377" t="str">
        <f t="shared" si="49"/>
        <v>Weekday</v>
      </c>
      <c r="R377">
        <f t="shared" si="50"/>
        <v>20</v>
      </c>
      <c r="S377" t="s">
        <v>529</v>
      </c>
    </row>
    <row r="378" spans="1:19" x14ac:dyDescent="0.25">
      <c r="A378">
        <v>5326</v>
      </c>
      <c r="B378" t="s">
        <v>225</v>
      </c>
      <c r="C378" t="s">
        <v>30</v>
      </c>
      <c r="D378" t="s">
        <v>10</v>
      </c>
      <c r="E378">
        <v>3</v>
      </c>
      <c r="F378" s="4">
        <v>2.42</v>
      </c>
      <c r="G378" s="4" t="str">
        <f t="shared" si="45"/>
        <v>Budget</v>
      </c>
      <c r="H378" s="4">
        <f t="shared" si="51"/>
        <v>1.452</v>
      </c>
      <c r="I378">
        <f t="shared" si="46"/>
        <v>7.26</v>
      </c>
      <c r="J378" s="4">
        <f t="shared" si="52"/>
        <v>5.8079999999999998</v>
      </c>
      <c r="K378" s="8">
        <f t="shared" si="53"/>
        <v>0.8</v>
      </c>
      <c r="L378" t="s">
        <v>17</v>
      </c>
      <c r="M378" s="2">
        <v>45827.470057870371</v>
      </c>
      <c r="N378" s="3">
        <v>45827.470057870371</v>
      </c>
      <c r="O378" t="str">
        <f t="shared" si="47"/>
        <v>Jun</v>
      </c>
      <c r="P378" t="str">
        <f t="shared" si="48"/>
        <v>Thu</v>
      </c>
      <c r="Q378" t="str">
        <f t="shared" si="49"/>
        <v>Weekday</v>
      </c>
      <c r="R378">
        <f t="shared" si="50"/>
        <v>11</v>
      </c>
      <c r="S378" t="s">
        <v>527</v>
      </c>
    </row>
    <row r="379" spans="1:19" x14ac:dyDescent="0.25">
      <c r="A379">
        <v>2834</v>
      </c>
      <c r="B379" t="s">
        <v>24</v>
      </c>
      <c r="C379" t="s">
        <v>21</v>
      </c>
      <c r="D379" t="s">
        <v>22</v>
      </c>
      <c r="E379">
        <v>3</v>
      </c>
      <c r="F379" s="4">
        <v>8.31</v>
      </c>
      <c r="G379" s="4" t="str">
        <f t="shared" si="45"/>
        <v>Budget</v>
      </c>
      <c r="H379" s="4">
        <f t="shared" si="51"/>
        <v>4.9859999999999998</v>
      </c>
      <c r="I379">
        <f t="shared" si="46"/>
        <v>24.93</v>
      </c>
      <c r="J379" s="4">
        <f t="shared" si="52"/>
        <v>19.943999999999999</v>
      </c>
      <c r="K379" s="8">
        <f t="shared" si="53"/>
        <v>0.79999999999999993</v>
      </c>
      <c r="L379" t="s">
        <v>17</v>
      </c>
      <c r="M379" s="2">
        <v>45828.763842592591</v>
      </c>
      <c r="N379" s="3">
        <v>45828.763842592591</v>
      </c>
      <c r="O379" t="str">
        <f t="shared" si="47"/>
        <v>Jun</v>
      </c>
      <c r="P379" t="str">
        <f t="shared" si="48"/>
        <v>Fri</v>
      </c>
      <c r="Q379" t="str">
        <f t="shared" si="49"/>
        <v>Weekend</v>
      </c>
      <c r="R379">
        <f t="shared" si="50"/>
        <v>18</v>
      </c>
      <c r="S379" t="s">
        <v>529</v>
      </c>
    </row>
    <row r="380" spans="1:19" x14ac:dyDescent="0.25">
      <c r="A380">
        <v>4056</v>
      </c>
      <c r="B380" t="s">
        <v>119</v>
      </c>
      <c r="C380" t="s">
        <v>37</v>
      </c>
      <c r="D380" t="s">
        <v>10</v>
      </c>
      <c r="E380">
        <v>4</v>
      </c>
      <c r="F380" s="4">
        <v>15.11</v>
      </c>
      <c r="G380" s="4" t="str">
        <f t="shared" si="45"/>
        <v>Mid-Range</v>
      </c>
      <c r="H380" s="4">
        <f t="shared" si="51"/>
        <v>9.0659999999999989</v>
      </c>
      <c r="I380">
        <f t="shared" si="46"/>
        <v>60.44</v>
      </c>
      <c r="J380" s="4">
        <f t="shared" si="52"/>
        <v>51.373999999999995</v>
      </c>
      <c r="K380" s="8">
        <f t="shared" si="53"/>
        <v>0.85</v>
      </c>
      <c r="L380" t="s">
        <v>19</v>
      </c>
      <c r="M380" s="2">
        <v>45828.92015046296</v>
      </c>
      <c r="N380" s="3">
        <v>45828.92015046296</v>
      </c>
      <c r="O380" t="str">
        <f t="shared" si="47"/>
        <v>Jun</v>
      </c>
      <c r="P380" t="str">
        <f t="shared" si="48"/>
        <v>Fri</v>
      </c>
      <c r="Q380" t="str">
        <f t="shared" si="49"/>
        <v>Weekend</v>
      </c>
      <c r="R380">
        <f t="shared" si="50"/>
        <v>22</v>
      </c>
      <c r="S380" t="s">
        <v>529</v>
      </c>
    </row>
    <row r="381" spans="1:19" x14ac:dyDescent="0.25">
      <c r="A381">
        <v>9709</v>
      </c>
      <c r="B381" t="s">
        <v>66</v>
      </c>
      <c r="C381" t="s">
        <v>28</v>
      </c>
      <c r="D381" t="s">
        <v>14</v>
      </c>
      <c r="E381">
        <v>4</v>
      </c>
      <c r="F381" s="4">
        <v>21.78</v>
      </c>
      <c r="G381" s="4" t="str">
        <f t="shared" si="45"/>
        <v>Premium</v>
      </c>
      <c r="H381" s="4">
        <f t="shared" si="51"/>
        <v>13.068</v>
      </c>
      <c r="I381">
        <f t="shared" si="46"/>
        <v>87.12</v>
      </c>
      <c r="J381" s="4">
        <f t="shared" si="52"/>
        <v>74.052000000000007</v>
      </c>
      <c r="K381" s="8">
        <f t="shared" si="53"/>
        <v>0.85</v>
      </c>
      <c r="L381" t="s">
        <v>11</v>
      </c>
      <c r="M381" s="2">
        <v>45828.936724537038</v>
      </c>
      <c r="N381" s="3">
        <v>45828.936724537038</v>
      </c>
      <c r="O381" t="str">
        <f t="shared" si="47"/>
        <v>Jun</v>
      </c>
      <c r="P381" t="str">
        <f t="shared" si="48"/>
        <v>Fri</v>
      </c>
      <c r="Q381" t="str">
        <f t="shared" si="49"/>
        <v>Weekend</v>
      </c>
      <c r="R381">
        <f t="shared" si="50"/>
        <v>22</v>
      </c>
      <c r="S381" t="s">
        <v>529</v>
      </c>
    </row>
    <row r="382" spans="1:19" x14ac:dyDescent="0.25">
      <c r="A382">
        <v>6622</v>
      </c>
      <c r="B382" t="s">
        <v>136</v>
      </c>
      <c r="C382" t="s">
        <v>28</v>
      </c>
      <c r="D382" t="s">
        <v>14</v>
      </c>
      <c r="E382">
        <v>4</v>
      </c>
      <c r="F382" s="4">
        <v>3.47</v>
      </c>
      <c r="G382" s="4" t="str">
        <f t="shared" si="45"/>
        <v>Budget</v>
      </c>
      <c r="H382" s="4">
        <f t="shared" si="51"/>
        <v>2.0819999999999999</v>
      </c>
      <c r="I382">
        <f t="shared" si="46"/>
        <v>13.88</v>
      </c>
      <c r="J382" s="4">
        <f t="shared" si="52"/>
        <v>11.798000000000002</v>
      </c>
      <c r="K382" s="8">
        <f t="shared" si="53"/>
        <v>0.85000000000000009</v>
      </c>
      <c r="L382" t="s">
        <v>15</v>
      </c>
      <c r="M382" s="2">
        <v>45828.994733796295</v>
      </c>
      <c r="N382" s="3">
        <v>45828.994733796295</v>
      </c>
      <c r="O382" t="str">
        <f t="shared" si="47"/>
        <v>Jun</v>
      </c>
      <c r="P382" t="str">
        <f t="shared" si="48"/>
        <v>Fri</v>
      </c>
      <c r="Q382" t="str">
        <f t="shared" si="49"/>
        <v>Weekend</v>
      </c>
      <c r="R382">
        <f t="shared" si="50"/>
        <v>23</v>
      </c>
      <c r="S382" t="s">
        <v>529</v>
      </c>
    </row>
    <row r="383" spans="1:19" x14ac:dyDescent="0.25">
      <c r="A383">
        <v>3327</v>
      </c>
      <c r="B383" t="s">
        <v>236</v>
      </c>
      <c r="C383" t="s">
        <v>35</v>
      </c>
      <c r="D383" t="s">
        <v>22</v>
      </c>
      <c r="E383">
        <v>1</v>
      </c>
      <c r="F383" s="4">
        <v>19.11</v>
      </c>
      <c r="G383" s="4" t="str">
        <f t="shared" si="45"/>
        <v>Mid-Range</v>
      </c>
      <c r="H383" s="4">
        <f t="shared" si="51"/>
        <v>11.465999999999999</v>
      </c>
      <c r="I383">
        <f t="shared" si="46"/>
        <v>19.11</v>
      </c>
      <c r="J383" s="4">
        <f t="shared" si="52"/>
        <v>7.6440000000000001</v>
      </c>
      <c r="K383" s="8">
        <f t="shared" si="53"/>
        <v>0.4</v>
      </c>
      <c r="L383" t="s">
        <v>17</v>
      </c>
      <c r="M383" s="2">
        <v>45829.198495370372</v>
      </c>
      <c r="N383" s="3">
        <v>45829.198495370372</v>
      </c>
      <c r="O383" t="str">
        <f t="shared" si="47"/>
        <v>Jun</v>
      </c>
      <c r="P383" t="str">
        <f t="shared" si="48"/>
        <v>Sat</v>
      </c>
      <c r="Q383" t="str">
        <f t="shared" si="49"/>
        <v>Weekend</v>
      </c>
      <c r="R383">
        <f t="shared" si="50"/>
        <v>4</v>
      </c>
      <c r="S383" t="s">
        <v>527</v>
      </c>
    </row>
    <row r="384" spans="1:19" x14ac:dyDescent="0.25">
      <c r="A384">
        <v>7043</v>
      </c>
      <c r="B384" t="s">
        <v>121</v>
      </c>
      <c r="C384" t="s">
        <v>35</v>
      </c>
      <c r="D384" t="s">
        <v>22</v>
      </c>
      <c r="E384">
        <v>2</v>
      </c>
      <c r="F384" s="4">
        <v>5.93</v>
      </c>
      <c r="G384" s="4" t="str">
        <f t="shared" si="45"/>
        <v>Budget</v>
      </c>
      <c r="H384" s="4">
        <f t="shared" si="51"/>
        <v>3.5579999999999998</v>
      </c>
      <c r="I384">
        <f t="shared" si="46"/>
        <v>11.86</v>
      </c>
      <c r="J384" s="4">
        <f t="shared" si="52"/>
        <v>8.3019999999999996</v>
      </c>
      <c r="K384" s="8">
        <f t="shared" si="53"/>
        <v>0.7</v>
      </c>
      <c r="L384" t="s">
        <v>17</v>
      </c>
      <c r="M384" s="2">
        <v>45829.808831018519</v>
      </c>
      <c r="N384" s="3">
        <v>45829.808831018519</v>
      </c>
      <c r="O384" t="str">
        <f t="shared" si="47"/>
        <v>Jun</v>
      </c>
      <c r="P384" t="str">
        <f t="shared" si="48"/>
        <v>Sat</v>
      </c>
      <c r="Q384" t="str">
        <f t="shared" si="49"/>
        <v>Weekend</v>
      </c>
      <c r="R384">
        <f t="shared" si="50"/>
        <v>19</v>
      </c>
      <c r="S384" t="s">
        <v>529</v>
      </c>
    </row>
    <row r="385" spans="1:19" x14ac:dyDescent="0.25">
      <c r="A385">
        <v>7106</v>
      </c>
      <c r="B385" t="s">
        <v>59</v>
      </c>
      <c r="C385" t="s">
        <v>40</v>
      </c>
      <c r="D385" t="s">
        <v>22</v>
      </c>
      <c r="E385">
        <v>5</v>
      </c>
      <c r="F385" s="4">
        <v>17.38</v>
      </c>
      <c r="G385" s="4" t="str">
        <f t="shared" si="45"/>
        <v>Mid-Range</v>
      </c>
      <c r="H385" s="4">
        <f t="shared" si="51"/>
        <v>10.427999999999999</v>
      </c>
      <c r="I385">
        <f t="shared" si="46"/>
        <v>86.899999999999991</v>
      </c>
      <c r="J385" s="4">
        <f t="shared" si="52"/>
        <v>76.471999999999994</v>
      </c>
      <c r="K385" s="8">
        <f t="shared" si="53"/>
        <v>0.88</v>
      </c>
      <c r="L385" t="s">
        <v>11</v>
      </c>
      <c r="M385" s="2">
        <v>45829.919479166667</v>
      </c>
      <c r="N385" s="3">
        <v>45829.919479166667</v>
      </c>
      <c r="O385" t="str">
        <f t="shared" si="47"/>
        <v>Jun</v>
      </c>
      <c r="P385" t="str">
        <f t="shared" si="48"/>
        <v>Sat</v>
      </c>
      <c r="Q385" t="str">
        <f t="shared" si="49"/>
        <v>Weekend</v>
      </c>
      <c r="R385">
        <f t="shared" si="50"/>
        <v>22</v>
      </c>
      <c r="S385" t="s">
        <v>529</v>
      </c>
    </row>
    <row r="386" spans="1:19" x14ac:dyDescent="0.25">
      <c r="A386">
        <v>8675</v>
      </c>
      <c r="B386" t="s">
        <v>256</v>
      </c>
      <c r="C386" t="s">
        <v>9</v>
      </c>
      <c r="D386" t="s">
        <v>10</v>
      </c>
      <c r="E386">
        <v>3</v>
      </c>
      <c r="F386" s="4">
        <v>6.38</v>
      </c>
      <c r="G386" s="4" t="str">
        <f t="shared" ref="G386:G449" si="54">IF(F386&lt;10,"Budget",IF(F386&lt;20,"Mid-Range","Premium"))</f>
        <v>Budget</v>
      </c>
      <c r="H386" s="4">
        <f t="shared" si="51"/>
        <v>3.8279999999999998</v>
      </c>
      <c r="I386">
        <f t="shared" ref="I386:I449" si="55">E386 * F386</f>
        <v>19.14</v>
      </c>
      <c r="J386" s="4">
        <f t="shared" si="52"/>
        <v>15.312000000000001</v>
      </c>
      <c r="K386" s="8">
        <f t="shared" si="53"/>
        <v>0.8</v>
      </c>
      <c r="L386" t="s">
        <v>17</v>
      </c>
      <c r="M386" s="2">
        <v>45831.012569444443</v>
      </c>
      <c r="N386" s="3">
        <v>45831.012569444443</v>
      </c>
      <c r="O386" t="str">
        <f t="shared" ref="O386:O449" si="56">TEXT(N386,"MMM")</f>
        <v>Jun</v>
      </c>
      <c r="P386" t="str">
        <f t="shared" ref="P386:P449" si="57">TEXT(M386, "DDD")</f>
        <v>Mon</v>
      </c>
      <c r="Q386" t="str">
        <f t="shared" ref="Q386:Q449" si="58">IF(OR(P386="Fri",P386="Sat"),"Weekend","Weekday")</f>
        <v>Weekday</v>
      </c>
      <c r="R386">
        <f t="shared" ref="R386:R449" si="59">HOUR(N386)</f>
        <v>0</v>
      </c>
      <c r="S386" t="s">
        <v>527</v>
      </c>
    </row>
    <row r="387" spans="1:19" x14ac:dyDescent="0.25">
      <c r="A387">
        <v>6685</v>
      </c>
      <c r="B387" t="s">
        <v>432</v>
      </c>
      <c r="C387" t="s">
        <v>13</v>
      </c>
      <c r="D387" t="s">
        <v>14</v>
      </c>
      <c r="E387">
        <v>1</v>
      </c>
      <c r="F387" s="4">
        <v>17.350000000000001</v>
      </c>
      <c r="G387" s="4" t="str">
        <f t="shared" si="54"/>
        <v>Mid-Range</v>
      </c>
      <c r="H387" s="4">
        <f t="shared" ref="H387:H450" si="60">60% * F387</f>
        <v>10.41</v>
      </c>
      <c r="I387">
        <f t="shared" si="55"/>
        <v>17.350000000000001</v>
      </c>
      <c r="J387" s="4">
        <f t="shared" ref="J387:J450" si="61">I387 - H387</f>
        <v>6.9400000000000013</v>
      </c>
      <c r="K387" s="8">
        <f t="shared" ref="K387:K450" si="62">J387 / I387</f>
        <v>0.4</v>
      </c>
      <c r="L387" t="s">
        <v>15</v>
      </c>
      <c r="M387" s="2">
        <v>45832.038668981484</v>
      </c>
      <c r="N387" s="3">
        <v>45832.038668981484</v>
      </c>
      <c r="O387" t="str">
        <f t="shared" si="56"/>
        <v>Jun</v>
      </c>
      <c r="P387" t="str">
        <f t="shared" si="57"/>
        <v>Tue</v>
      </c>
      <c r="Q387" t="str">
        <f t="shared" si="58"/>
        <v>Weekday</v>
      </c>
      <c r="R387">
        <f t="shared" si="59"/>
        <v>0</v>
      </c>
      <c r="S387" t="s">
        <v>527</v>
      </c>
    </row>
    <row r="388" spans="1:19" x14ac:dyDescent="0.25">
      <c r="A388">
        <v>5188</v>
      </c>
      <c r="B388" t="s">
        <v>417</v>
      </c>
      <c r="C388" t="s">
        <v>35</v>
      </c>
      <c r="D388" t="s">
        <v>22</v>
      </c>
      <c r="E388">
        <v>5</v>
      </c>
      <c r="F388" s="4">
        <v>17.43</v>
      </c>
      <c r="G388" s="4" t="str">
        <f t="shared" si="54"/>
        <v>Mid-Range</v>
      </c>
      <c r="H388" s="4">
        <f t="shared" si="60"/>
        <v>10.458</v>
      </c>
      <c r="I388">
        <f t="shared" si="55"/>
        <v>87.15</v>
      </c>
      <c r="J388" s="4">
        <f t="shared" si="61"/>
        <v>76.692000000000007</v>
      </c>
      <c r="K388" s="8">
        <f t="shared" si="62"/>
        <v>0.88</v>
      </c>
      <c r="L388" t="s">
        <v>19</v>
      </c>
      <c r="M388" s="2">
        <v>45832.682372685187</v>
      </c>
      <c r="N388" s="3">
        <v>45832.682372685187</v>
      </c>
      <c r="O388" t="str">
        <f t="shared" si="56"/>
        <v>Jun</v>
      </c>
      <c r="P388" t="str">
        <f t="shared" si="57"/>
        <v>Tue</v>
      </c>
      <c r="Q388" t="str">
        <f t="shared" si="58"/>
        <v>Weekday</v>
      </c>
      <c r="R388">
        <f t="shared" si="59"/>
        <v>16</v>
      </c>
      <c r="S388" t="s">
        <v>528</v>
      </c>
    </row>
    <row r="389" spans="1:19" x14ac:dyDescent="0.25">
      <c r="A389">
        <v>2799</v>
      </c>
      <c r="B389" t="s">
        <v>394</v>
      </c>
      <c r="C389" t="s">
        <v>33</v>
      </c>
      <c r="D389" t="s">
        <v>14</v>
      </c>
      <c r="E389">
        <v>1</v>
      </c>
      <c r="F389" s="4">
        <v>13.62</v>
      </c>
      <c r="G389" s="4" t="str">
        <f t="shared" si="54"/>
        <v>Mid-Range</v>
      </c>
      <c r="H389" s="4">
        <f t="shared" si="60"/>
        <v>8.1719999999999988</v>
      </c>
      <c r="I389">
        <f t="shared" si="55"/>
        <v>13.62</v>
      </c>
      <c r="J389" s="4">
        <f t="shared" si="61"/>
        <v>5.4480000000000004</v>
      </c>
      <c r="K389" s="8">
        <f t="shared" si="62"/>
        <v>0.40000000000000008</v>
      </c>
      <c r="L389" t="s">
        <v>11</v>
      </c>
      <c r="M389" s="2">
        <v>45833.579224537039</v>
      </c>
      <c r="N389" s="3">
        <v>45833.579224537039</v>
      </c>
      <c r="O389" t="str">
        <f t="shared" si="56"/>
        <v>Jun</v>
      </c>
      <c r="P389" t="str">
        <f t="shared" si="57"/>
        <v>Wed</v>
      </c>
      <c r="Q389" t="str">
        <f t="shared" si="58"/>
        <v>Weekday</v>
      </c>
      <c r="R389">
        <f t="shared" si="59"/>
        <v>13</v>
      </c>
      <c r="S389" t="s">
        <v>528</v>
      </c>
    </row>
    <row r="390" spans="1:19" x14ac:dyDescent="0.25">
      <c r="A390">
        <v>6244</v>
      </c>
      <c r="B390" t="s">
        <v>510</v>
      </c>
      <c r="C390" t="s">
        <v>30</v>
      </c>
      <c r="D390" t="s">
        <v>10</v>
      </c>
      <c r="E390">
        <v>1</v>
      </c>
      <c r="F390" s="4">
        <v>5.86</v>
      </c>
      <c r="G390" s="4" t="str">
        <f t="shared" si="54"/>
        <v>Budget</v>
      </c>
      <c r="H390" s="4">
        <f t="shared" si="60"/>
        <v>3.516</v>
      </c>
      <c r="I390">
        <f t="shared" si="55"/>
        <v>5.86</v>
      </c>
      <c r="J390" s="4">
        <f t="shared" si="61"/>
        <v>2.3440000000000003</v>
      </c>
      <c r="K390" s="8">
        <f t="shared" si="62"/>
        <v>0.4</v>
      </c>
      <c r="L390" t="s">
        <v>15</v>
      </c>
      <c r="M390" s="2">
        <v>45833.761736111112</v>
      </c>
      <c r="N390" s="3">
        <v>45833.761736111112</v>
      </c>
      <c r="O390" t="str">
        <f t="shared" si="56"/>
        <v>Jun</v>
      </c>
      <c r="P390" t="str">
        <f t="shared" si="57"/>
        <v>Wed</v>
      </c>
      <c r="Q390" t="str">
        <f t="shared" si="58"/>
        <v>Weekday</v>
      </c>
      <c r="R390">
        <f t="shared" si="59"/>
        <v>18</v>
      </c>
      <c r="S390" t="s">
        <v>529</v>
      </c>
    </row>
    <row r="391" spans="1:19" x14ac:dyDescent="0.25">
      <c r="A391">
        <v>8800</v>
      </c>
      <c r="B391" t="s">
        <v>63</v>
      </c>
      <c r="C391" t="s">
        <v>21</v>
      </c>
      <c r="D391" t="s">
        <v>22</v>
      </c>
      <c r="E391">
        <v>1</v>
      </c>
      <c r="F391" s="4">
        <v>21.58</v>
      </c>
      <c r="G391" s="4" t="str">
        <f t="shared" si="54"/>
        <v>Premium</v>
      </c>
      <c r="H391" s="4">
        <f t="shared" si="60"/>
        <v>12.947999999999999</v>
      </c>
      <c r="I391">
        <f t="shared" si="55"/>
        <v>21.58</v>
      </c>
      <c r="J391" s="4">
        <f t="shared" si="61"/>
        <v>8.6319999999999997</v>
      </c>
      <c r="K391" s="8">
        <f t="shared" si="62"/>
        <v>0.4</v>
      </c>
      <c r="L391" t="s">
        <v>11</v>
      </c>
      <c r="M391" s="2">
        <v>45834.547268518516</v>
      </c>
      <c r="N391" s="3">
        <v>45834.547268518516</v>
      </c>
      <c r="O391" t="str">
        <f t="shared" si="56"/>
        <v>Jun</v>
      </c>
      <c r="P391" t="str">
        <f t="shared" si="57"/>
        <v>Thu</v>
      </c>
      <c r="Q391" t="str">
        <f t="shared" si="58"/>
        <v>Weekday</v>
      </c>
      <c r="R391">
        <f t="shared" si="59"/>
        <v>13</v>
      </c>
      <c r="S391" t="s">
        <v>528</v>
      </c>
    </row>
    <row r="392" spans="1:19" x14ac:dyDescent="0.25">
      <c r="A392">
        <v>4925</v>
      </c>
      <c r="B392" t="s">
        <v>69</v>
      </c>
      <c r="C392" t="s">
        <v>13</v>
      </c>
      <c r="D392" t="s">
        <v>14</v>
      </c>
      <c r="E392">
        <v>5</v>
      </c>
      <c r="F392" s="4">
        <v>12.99</v>
      </c>
      <c r="G392" s="4" t="str">
        <f t="shared" si="54"/>
        <v>Mid-Range</v>
      </c>
      <c r="H392" s="4">
        <f t="shared" si="60"/>
        <v>7.7939999999999996</v>
      </c>
      <c r="I392">
        <f t="shared" si="55"/>
        <v>64.95</v>
      </c>
      <c r="J392" s="4">
        <f t="shared" si="61"/>
        <v>57.156000000000006</v>
      </c>
      <c r="K392" s="8">
        <f t="shared" si="62"/>
        <v>0.88</v>
      </c>
      <c r="L392" t="s">
        <v>19</v>
      </c>
      <c r="M392" s="2">
        <v>45834.560486111113</v>
      </c>
      <c r="N392" s="3">
        <v>45834.560486111113</v>
      </c>
      <c r="O392" t="str">
        <f t="shared" si="56"/>
        <v>Jun</v>
      </c>
      <c r="P392" t="str">
        <f t="shared" si="57"/>
        <v>Thu</v>
      </c>
      <c r="Q392" t="str">
        <f t="shared" si="58"/>
        <v>Weekday</v>
      </c>
      <c r="R392">
        <f t="shared" si="59"/>
        <v>13</v>
      </c>
      <c r="S392" t="s">
        <v>528</v>
      </c>
    </row>
    <row r="393" spans="1:19" x14ac:dyDescent="0.25">
      <c r="A393">
        <v>4728</v>
      </c>
      <c r="B393" t="s">
        <v>161</v>
      </c>
      <c r="C393" t="s">
        <v>13</v>
      </c>
      <c r="D393" t="s">
        <v>14</v>
      </c>
      <c r="E393">
        <v>1</v>
      </c>
      <c r="F393" s="4">
        <v>22.89</v>
      </c>
      <c r="G393" s="4" t="str">
        <f t="shared" si="54"/>
        <v>Premium</v>
      </c>
      <c r="H393" s="4">
        <f t="shared" si="60"/>
        <v>13.734</v>
      </c>
      <c r="I393">
        <f t="shared" si="55"/>
        <v>22.89</v>
      </c>
      <c r="J393" s="4">
        <f t="shared" si="61"/>
        <v>9.1560000000000006</v>
      </c>
      <c r="K393" s="8">
        <f t="shared" si="62"/>
        <v>0.4</v>
      </c>
      <c r="L393" t="s">
        <v>11</v>
      </c>
      <c r="M393" s="2">
        <v>45834.899016203701</v>
      </c>
      <c r="N393" s="3">
        <v>45834.899016203701</v>
      </c>
      <c r="O393" t="str">
        <f t="shared" si="56"/>
        <v>Jun</v>
      </c>
      <c r="P393" t="str">
        <f t="shared" si="57"/>
        <v>Thu</v>
      </c>
      <c r="Q393" t="str">
        <f t="shared" si="58"/>
        <v>Weekday</v>
      </c>
      <c r="R393">
        <f t="shared" si="59"/>
        <v>21</v>
      </c>
      <c r="S393" t="s">
        <v>529</v>
      </c>
    </row>
    <row r="394" spans="1:19" x14ac:dyDescent="0.25">
      <c r="A394">
        <v>4478</v>
      </c>
      <c r="B394" t="s">
        <v>485</v>
      </c>
      <c r="C394" t="s">
        <v>21</v>
      </c>
      <c r="D394" t="s">
        <v>22</v>
      </c>
      <c r="E394">
        <v>1</v>
      </c>
      <c r="F394" s="4">
        <v>12.99</v>
      </c>
      <c r="G394" s="4" t="str">
        <f t="shared" si="54"/>
        <v>Mid-Range</v>
      </c>
      <c r="H394" s="4">
        <f t="shared" si="60"/>
        <v>7.7939999999999996</v>
      </c>
      <c r="I394">
        <f t="shared" si="55"/>
        <v>12.99</v>
      </c>
      <c r="J394" s="4">
        <f t="shared" si="61"/>
        <v>5.1960000000000006</v>
      </c>
      <c r="K394" s="8">
        <f t="shared" si="62"/>
        <v>0.4</v>
      </c>
      <c r="L394" t="s">
        <v>19</v>
      </c>
      <c r="M394" s="2">
        <v>45835.03230324074</v>
      </c>
      <c r="N394" s="3">
        <v>45835.03230324074</v>
      </c>
      <c r="O394" t="str">
        <f t="shared" si="56"/>
        <v>Jun</v>
      </c>
      <c r="P394" t="str">
        <f t="shared" si="57"/>
        <v>Fri</v>
      </c>
      <c r="Q394" t="str">
        <f t="shared" si="58"/>
        <v>Weekend</v>
      </c>
      <c r="R394">
        <f t="shared" si="59"/>
        <v>0</v>
      </c>
      <c r="S394" t="s">
        <v>527</v>
      </c>
    </row>
    <row r="395" spans="1:19" x14ac:dyDescent="0.25">
      <c r="A395">
        <v>6443</v>
      </c>
      <c r="B395" t="s">
        <v>151</v>
      </c>
      <c r="C395" t="s">
        <v>9</v>
      </c>
      <c r="D395" t="s">
        <v>10</v>
      </c>
      <c r="E395">
        <v>1</v>
      </c>
      <c r="F395" s="4">
        <v>7.93</v>
      </c>
      <c r="G395" s="4" t="str">
        <f t="shared" si="54"/>
        <v>Budget</v>
      </c>
      <c r="H395" s="4">
        <f t="shared" si="60"/>
        <v>4.758</v>
      </c>
      <c r="I395">
        <f t="shared" si="55"/>
        <v>7.93</v>
      </c>
      <c r="J395" s="4">
        <f t="shared" si="61"/>
        <v>3.1719999999999997</v>
      </c>
      <c r="K395" s="8">
        <f t="shared" si="62"/>
        <v>0.39999999999999997</v>
      </c>
      <c r="L395" t="s">
        <v>11</v>
      </c>
      <c r="M395" s="2">
        <v>45835.082650462966</v>
      </c>
      <c r="N395" s="3">
        <v>45835.082650462966</v>
      </c>
      <c r="O395" t="str">
        <f t="shared" si="56"/>
        <v>Jun</v>
      </c>
      <c r="P395" t="str">
        <f t="shared" si="57"/>
        <v>Fri</v>
      </c>
      <c r="Q395" t="str">
        <f t="shared" si="58"/>
        <v>Weekend</v>
      </c>
      <c r="R395">
        <f t="shared" si="59"/>
        <v>1</v>
      </c>
      <c r="S395" t="s">
        <v>527</v>
      </c>
    </row>
    <row r="396" spans="1:19" x14ac:dyDescent="0.25">
      <c r="A396">
        <v>5320</v>
      </c>
      <c r="B396" t="s">
        <v>152</v>
      </c>
      <c r="C396" t="s">
        <v>35</v>
      </c>
      <c r="D396" t="s">
        <v>22</v>
      </c>
      <c r="E396">
        <v>3</v>
      </c>
      <c r="F396" s="4">
        <v>5.49</v>
      </c>
      <c r="G396" s="4" t="str">
        <f t="shared" si="54"/>
        <v>Budget</v>
      </c>
      <c r="H396" s="4">
        <f t="shared" si="60"/>
        <v>3.294</v>
      </c>
      <c r="I396">
        <f t="shared" si="55"/>
        <v>16.47</v>
      </c>
      <c r="J396" s="4">
        <f t="shared" si="61"/>
        <v>13.175999999999998</v>
      </c>
      <c r="K396" s="8">
        <f t="shared" si="62"/>
        <v>0.79999999999999993</v>
      </c>
      <c r="L396" t="s">
        <v>19</v>
      </c>
      <c r="M396" s="2">
        <v>45835.159884259258</v>
      </c>
      <c r="N396" s="3">
        <v>45835.159884259258</v>
      </c>
      <c r="O396" t="str">
        <f t="shared" si="56"/>
        <v>Jun</v>
      </c>
      <c r="P396" t="str">
        <f t="shared" si="57"/>
        <v>Fri</v>
      </c>
      <c r="Q396" t="str">
        <f t="shared" si="58"/>
        <v>Weekend</v>
      </c>
      <c r="R396">
        <f t="shared" si="59"/>
        <v>3</v>
      </c>
      <c r="S396" t="s">
        <v>527</v>
      </c>
    </row>
    <row r="397" spans="1:19" x14ac:dyDescent="0.25">
      <c r="A397">
        <v>2842</v>
      </c>
      <c r="B397" t="s">
        <v>215</v>
      </c>
      <c r="C397" t="s">
        <v>37</v>
      </c>
      <c r="D397" t="s">
        <v>10</v>
      </c>
      <c r="E397">
        <v>4</v>
      </c>
      <c r="F397" s="4">
        <v>18.079999999999998</v>
      </c>
      <c r="G397" s="4" t="str">
        <f t="shared" si="54"/>
        <v>Mid-Range</v>
      </c>
      <c r="H397" s="4">
        <f t="shared" si="60"/>
        <v>10.847999999999999</v>
      </c>
      <c r="I397">
        <f t="shared" si="55"/>
        <v>72.319999999999993</v>
      </c>
      <c r="J397" s="4">
        <f t="shared" si="61"/>
        <v>61.471999999999994</v>
      </c>
      <c r="K397" s="8">
        <f t="shared" si="62"/>
        <v>0.85</v>
      </c>
      <c r="L397" t="s">
        <v>17</v>
      </c>
      <c r="M397" s="2">
        <v>45835.749722222223</v>
      </c>
      <c r="N397" s="3">
        <v>45835.749722222223</v>
      </c>
      <c r="O397" t="str">
        <f t="shared" si="56"/>
        <v>Jun</v>
      </c>
      <c r="P397" t="str">
        <f t="shared" si="57"/>
        <v>Fri</v>
      </c>
      <c r="Q397" t="str">
        <f t="shared" si="58"/>
        <v>Weekend</v>
      </c>
      <c r="R397">
        <f t="shared" si="59"/>
        <v>17</v>
      </c>
      <c r="S397" t="s">
        <v>528</v>
      </c>
    </row>
    <row r="398" spans="1:19" x14ac:dyDescent="0.25">
      <c r="A398">
        <v>4033</v>
      </c>
      <c r="B398" t="s">
        <v>226</v>
      </c>
      <c r="C398" t="s">
        <v>13</v>
      </c>
      <c r="D398" t="s">
        <v>14</v>
      </c>
      <c r="E398">
        <v>5</v>
      </c>
      <c r="F398" s="4">
        <v>9.64</v>
      </c>
      <c r="G398" s="4" t="str">
        <f t="shared" si="54"/>
        <v>Budget</v>
      </c>
      <c r="H398" s="4">
        <f t="shared" si="60"/>
        <v>5.7839999999999998</v>
      </c>
      <c r="I398">
        <f t="shared" si="55"/>
        <v>48.2</v>
      </c>
      <c r="J398" s="4">
        <f t="shared" si="61"/>
        <v>42.416000000000004</v>
      </c>
      <c r="K398" s="8">
        <f t="shared" si="62"/>
        <v>0.88</v>
      </c>
      <c r="L398" t="s">
        <v>19</v>
      </c>
      <c r="M398" s="2">
        <v>45836.313078703701</v>
      </c>
      <c r="N398" s="3">
        <v>45836.313078703701</v>
      </c>
      <c r="O398" t="str">
        <f t="shared" si="56"/>
        <v>Jun</v>
      </c>
      <c r="P398" t="str">
        <f t="shared" si="57"/>
        <v>Sat</v>
      </c>
      <c r="Q398" t="str">
        <f t="shared" si="58"/>
        <v>Weekend</v>
      </c>
      <c r="R398">
        <f t="shared" si="59"/>
        <v>7</v>
      </c>
      <c r="S398" t="s">
        <v>527</v>
      </c>
    </row>
    <row r="399" spans="1:19" x14ac:dyDescent="0.25">
      <c r="A399">
        <v>8927</v>
      </c>
      <c r="B399" t="s">
        <v>375</v>
      </c>
      <c r="C399" t="s">
        <v>21</v>
      </c>
      <c r="D399" t="s">
        <v>22</v>
      </c>
      <c r="E399">
        <v>1</v>
      </c>
      <c r="F399" s="4">
        <v>18.170000000000002</v>
      </c>
      <c r="G399" s="4" t="str">
        <f t="shared" si="54"/>
        <v>Mid-Range</v>
      </c>
      <c r="H399" s="4">
        <f t="shared" si="60"/>
        <v>10.902000000000001</v>
      </c>
      <c r="I399">
        <f t="shared" si="55"/>
        <v>18.170000000000002</v>
      </c>
      <c r="J399" s="4">
        <f t="shared" si="61"/>
        <v>7.2680000000000007</v>
      </c>
      <c r="K399" s="8">
        <f t="shared" si="62"/>
        <v>0.4</v>
      </c>
      <c r="L399" t="s">
        <v>11</v>
      </c>
      <c r="M399" s="2">
        <v>45837.702789351853</v>
      </c>
      <c r="N399" s="3">
        <v>45837.702789351853</v>
      </c>
      <c r="O399" t="str">
        <f t="shared" si="56"/>
        <v>Jun</v>
      </c>
      <c r="P399" t="str">
        <f t="shared" si="57"/>
        <v>Sun</v>
      </c>
      <c r="Q399" t="str">
        <f t="shared" si="58"/>
        <v>Weekday</v>
      </c>
      <c r="R399">
        <f t="shared" si="59"/>
        <v>16</v>
      </c>
      <c r="S399" t="s">
        <v>528</v>
      </c>
    </row>
    <row r="400" spans="1:19" x14ac:dyDescent="0.25">
      <c r="A400">
        <v>6306</v>
      </c>
      <c r="B400" t="s">
        <v>84</v>
      </c>
      <c r="C400" t="s">
        <v>13</v>
      </c>
      <c r="D400" t="s">
        <v>14</v>
      </c>
      <c r="E400">
        <v>1</v>
      </c>
      <c r="F400" s="4">
        <v>12</v>
      </c>
      <c r="G400" s="4" t="str">
        <f t="shared" si="54"/>
        <v>Mid-Range</v>
      </c>
      <c r="H400" s="4">
        <f t="shared" si="60"/>
        <v>7.1999999999999993</v>
      </c>
      <c r="I400">
        <f t="shared" si="55"/>
        <v>12</v>
      </c>
      <c r="J400" s="4">
        <f t="shared" si="61"/>
        <v>4.8000000000000007</v>
      </c>
      <c r="K400" s="8">
        <f t="shared" si="62"/>
        <v>0.40000000000000008</v>
      </c>
      <c r="L400" t="s">
        <v>11</v>
      </c>
      <c r="M400" s="2">
        <v>45839.287824074076</v>
      </c>
      <c r="N400" s="3">
        <v>45839.287824074076</v>
      </c>
      <c r="O400" t="str">
        <f t="shared" si="56"/>
        <v>Jul</v>
      </c>
      <c r="P400" t="str">
        <f t="shared" si="57"/>
        <v>Tue</v>
      </c>
      <c r="Q400" t="str">
        <f t="shared" si="58"/>
        <v>Weekday</v>
      </c>
      <c r="R400">
        <f t="shared" si="59"/>
        <v>6</v>
      </c>
      <c r="S400" t="s">
        <v>527</v>
      </c>
    </row>
    <row r="401" spans="1:19" x14ac:dyDescent="0.25">
      <c r="A401">
        <v>8109</v>
      </c>
      <c r="B401" t="s">
        <v>205</v>
      </c>
      <c r="C401" t="s">
        <v>40</v>
      </c>
      <c r="D401" t="s">
        <v>22</v>
      </c>
      <c r="E401">
        <v>2</v>
      </c>
      <c r="F401" s="4">
        <v>15.56</v>
      </c>
      <c r="G401" s="4" t="str">
        <f t="shared" si="54"/>
        <v>Mid-Range</v>
      </c>
      <c r="H401" s="4">
        <f t="shared" si="60"/>
        <v>9.3360000000000003</v>
      </c>
      <c r="I401">
        <f t="shared" si="55"/>
        <v>31.12</v>
      </c>
      <c r="J401" s="4">
        <f t="shared" si="61"/>
        <v>21.783999999999999</v>
      </c>
      <c r="K401" s="8">
        <f t="shared" si="62"/>
        <v>0.7</v>
      </c>
      <c r="L401" t="s">
        <v>15</v>
      </c>
      <c r="M401" s="2">
        <v>45840.771458333336</v>
      </c>
      <c r="N401" s="3">
        <v>45840.771458333336</v>
      </c>
      <c r="O401" t="str">
        <f t="shared" si="56"/>
        <v>Jul</v>
      </c>
      <c r="P401" t="str">
        <f t="shared" si="57"/>
        <v>Wed</v>
      </c>
      <c r="Q401" t="str">
        <f t="shared" si="58"/>
        <v>Weekday</v>
      </c>
      <c r="R401">
        <f t="shared" si="59"/>
        <v>18</v>
      </c>
      <c r="S401" t="s">
        <v>529</v>
      </c>
    </row>
    <row r="402" spans="1:19" x14ac:dyDescent="0.25">
      <c r="A402">
        <v>8216</v>
      </c>
      <c r="B402" t="s">
        <v>351</v>
      </c>
      <c r="C402" t="s">
        <v>30</v>
      </c>
      <c r="D402" t="s">
        <v>10</v>
      </c>
      <c r="E402">
        <v>4</v>
      </c>
      <c r="F402" s="4">
        <v>4.46</v>
      </c>
      <c r="G402" s="4" t="str">
        <f t="shared" si="54"/>
        <v>Budget</v>
      </c>
      <c r="H402" s="4">
        <f t="shared" si="60"/>
        <v>2.6759999999999997</v>
      </c>
      <c r="I402">
        <f t="shared" si="55"/>
        <v>17.84</v>
      </c>
      <c r="J402" s="4">
        <f t="shared" si="61"/>
        <v>15.164</v>
      </c>
      <c r="K402" s="8">
        <f t="shared" si="62"/>
        <v>0.85</v>
      </c>
      <c r="L402" t="s">
        <v>11</v>
      </c>
      <c r="M402" s="2">
        <v>45841.184293981481</v>
      </c>
      <c r="N402" s="3">
        <v>45841.184293981481</v>
      </c>
      <c r="O402" t="str">
        <f t="shared" si="56"/>
        <v>Jul</v>
      </c>
      <c r="P402" t="str">
        <f t="shared" si="57"/>
        <v>Thu</v>
      </c>
      <c r="Q402" t="str">
        <f t="shared" si="58"/>
        <v>Weekday</v>
      </c>
      <c r="R402">
        <f t="shared" si="59"/>
        <v>4</v>
      </c>
      <c r="S402" t="s">
        <v>527</v>
      </c>
    </row>
    <row r="403" spans="1:19" x14ac:dyDescent="0.25">
      <c r="A403">
        <v>5788</v>
      </c>
      <c r="B403" t="s">
        <v>187</v>
      </c>
      <c r="C403" t="s">
        <v>13</v>
      </c>
      <c r="D403" t="s">
        <v>14</v>
      </c>
      <c r="E403">
        <v>3</v>
      </c>
      <c r="F403" s="4">
        <v>3.84</v>
      </c>
      <c r="G403" s="4" t="str">
        <f t="shared" si="54"/>
        <v>Budget</v>
      </c>
      <c r="H403" s="4">
        <f t="shared" si="60"/>
        <v>2.3039999999999998</v>
      </c>
      <c r="I403">
        <f t="shared" si="55"/>
        <v>11.52</v>
      </c>
      <c r="J403" s="4">
        <f t="shared" si="61"/>
        <v>9.2159999999999993</v>
      </c>
      <c r="K403" s="8">
        <f t="shared" si="62"/>
        <v>0.79999999999999993</v>
      </c>
      <c r="L403" t="s">
        <v>11</v>
      </c>
      <c r="M403" s="2">
        <v>45841.397407407407</v>
      </c>
      <c r="N403" s="3">
        <v>45841.397407407407</v>
      </c>
      <c r="O403" t="str">
        <f t="shared" si="56"/>
        <v>Jul</v>
      </c>
      <c r="P403" t="str">
        <f t="shared" si="57"/>
        <v>Thu</v>
      </c>
      <c r="Q403" t="str">
        <f t="shared" si="58"/>
        <v>Weekday</v>
      </c>
      <c r="R403">
        <f t="shared" si="59"/>
        <v>9</v>
      </c>
      <c r="S403" t="s">
        <v>527</v>
      </c>
    </row>
    <row r="404" spans="1:19" x14ac:dyDescent="0.25">
      <c r="A404">
        <v>2902</v>
      </c>
      <c r="B404" t="s">
        <v>511</v>
      </c>
      <c r="C404" t="s">
        <v>13</v>
      </c>
      <c r="D404" t="s">
        <v>14</v>
      </c>
      <c r="E404">
        <v>4</v>
      </c>
      <c r="F404" s="4">
        <v>20.260000000000002</v>
      </c>
      <c r="G404" s="4" t="str">
        <f t="shared" si="54"/>
        <v>Premium</v>
      </c>
      <c r="H404" s="4">
        <f t="shared" si="60"/>
        <v>12.156000000000001</v>
      </c>
      <c r="I404">
        <f t="shared" si="55"/>
        <v>81.040000000000006</v>
      </c>
      <c r="J404" s="4">
        <f t="shared" si="61"/>
        <v>68.884</v>
      </c>
      <c r="K404" s="8">
        <f t="shared" si="62"/>
        <v>0.85</v>
      </c>
      <c r="L404" t="s">
        <v>17</v>
      </c>
      <c r="M404" s="2">
        <v>45841.845393518517</v>
      </c>
      <c r="N404" s="3">
        <v>45841.845393518517</v>
      </c>
      <c r="O404" t="str">
        <f t="shared" si="56"/>
        <v>Jul</v>
      </c>
      <c r="P404" t="str">
        <f t="shared" si="57"/>
        <v>Thu</v>
      </c>
      <c r="Q404" t="str">
        <f t="shared" si="58"/>
        <v>Weekday</v>
      </c>
      <c r="R404">
        <f t="shared" si="59"/>
        <v>20</v>
      </c>
      <c r="S404" t="s">
        <v>529</v>
      </c>
    </row>
    <row r="405" spans="1:19" x14ac:dyDescent="0.25">
      <c r="A405">
        <v>9748</v>
      </c>
      <c r="B405" t="s">
        <v>418</v>
      </c>
      <c r="C405" t="s">
        <v>28</v>
      </c>
      <c r="D405" t="s">
        <v>14</v>
      </c>
      <c r="E405">
        <v>3</v>
      </c>
      <c r="F405" s="4">
        <v>24.03</v>
      </c>
      <c r="G405" s="4" t="str">
        <f t="shared" si="54"/>
        <v>Premium</v>
      </c>
      <c r="H405" s="4">
        <f t="shared" si="60"/>
        <v>14.417999999999999</v>
      </c>
      <c r="I405">
        <f t="shared" si="55"/>
        <v>72.09</v>
      </c>
      <c r="J405" s="4">
        <f t="shared" si="61"/>
        <v>57.672000000000004</v>
      </c>
      <c r="K405" s="8">
        <f t="shared" si="62"/>
        <v>0.8</v>
      </c>
      <c r="L405" t="s">
        <v>17</v>
      </c>
      <c r="M405" s="2">
        <v>45842.710393518515</v>
      </c>
      <c r="N405" s="3">
        <v>45842.710393518515</v>
      </c>
      <c r="O405" t="str">
        <f t="shared" si="56"/>
        <v>Jul</v>
      </c>
      <c r="P405" t="str">
        <f t="shared" si="57"/>
        <v>Fri</v>
      </c>
      <c r="Q405" t="str">
        <f t="shared" si="58"/>
        <v>Weekend</v>
      </c>
      <c r="R405">
        <f t="shared" si="59"/>
        <v>17</v>
      </c>
      <c r="S405" t="s">
        <v>528</v>
      </c>
    </row>
    <row r="406" spans="1:19" x14ac:dyDescent="0.25">
      <c r="A406">
        <v>8874</v>
      </c>
      <c r="B406" t="s">
        <v>132</v>
      </c>
      <c r="C406" t="s">
        <v>37</v>
      </c>
      <c r="D406" t="s">
        <v>10</v>
      </c>
      <c r="E406">
        <v>1</v>
      </c>
      <c r="F406" s="4">
        <v>23.88</v>
      </c>
      <c r="G406" s="4" t="str">
        <f t="shared" si="54"/>
        <v>Premium</v>
      </c>
      <c r="H406" s="4">
        <f t="shared" si="60"/>
        <v>14.327999999999999</v>
      </c>
      <c r="I406">
        <f t="shared" si="55"/>
        <v>23.88</v>
      </c>
      <c r="J406" s="4">
        <f t="shared" si="61"/>
        <v>9.5519999999999996</v>
      </c>
      <c r="K406" s="8">
        <f t="shared" si="62"/>
        <v>0.4</v>
      </c>
      <c r="L406" t="s">
        <v>11</v>
      </c>
      <c r="M406" s="2">
        <v>45843.13753472222</v>
      </c>
      <c r="N406" s="3">
        <v>45843.13753472222</v>
      </c>
      <c r="O406" t="str">
        <f t="shared" si="56"/>
        <v>Jul</v>
      </c>
      <c r="P406" t="str">
        <f t="shared" si="57"/>
        <v>Sat</v>
      </c>
      <c r="Q406" t="str">
        <f t="shared" si="58"/>
        <v>Weekend</v>
      </c>
      <c r="R406">
        <f t="shared" si="59"/>
        <v>3</v>
      </c>
      <c r="S406" t="s">
        <v>527</v>
      </c>
    </row>
    <row r="407" spans="1:19" x14ac:dyDescent="0.25">
      <c r="A407">
        <v>3343</v>
      </c>
      <c r="B407" t="s">
        <v>203</v>
      </c>
      <c r="C407" t="s">
        <v>37</v>
      </c>
      <c r="D407" t="s">
        <v>10</v>
      </c>
      <c r="E407">
        <v>2</v>
      </c>
      <c r="F407" s="4">
        <v>3.76</v>
      </c>
      <c r="G407" s="4" t="str">
        <f t="shared" si="54"/>
        <v>Budget</v>
      </c>
      <c r="H407" s="4">
        <f t="shared" si="60"/>
        <v>2.2559999999999998</v>
      </c>
      <c r="I407">
        <f t="shared" si="55"/>
        <v>7.52</v>
      </c>
      <c r="J407" s="4">
        <f t="shared" si="61"/>
        <v>5.2639999999999993</v>
      </c>
      <c r="K407" s="8">
        <f t="shared" si="62"/>
        <v>0.7</v>
      </c>
      <c r="L407" t="s">
        <v>11</v>
      </c>
      <c r="M407" s="2">
        <v>45843.978483796294</v>
      </c>
      <c r="N407" s="3">
        <v>45843.978483796294</v>
      </c>
      <c r="O407" t="str">
        <f t="shared" si="56"/>
        <v>Jul</v>
      </c>
      <c r="P407" t="str">
        <f t="shared" si="57"/>
        <v>Sat</v>
      </c>
      <c r="Q407" t="str">
        <f t="shared" si="58"/>
        <v>Weekend</v>
      </c>
      <c r="R407">
        <f t="shared" si="59"/>
        <v>23</v>
      </c>
      <c r="S407" t="s">
        <v>529</v>
      </c>
    </row>
    <row r="408" spans="1:19" x14ac:dyDescent="0.25">
      <c r="A408">
        <v>1066</v>
      </c>
      <c r="B408" t="s">
        <v>425</v>
      </c>
      <c r="C408" t="s">
        <v>35</v>
      </c>
      <c r="D408" t="s">
        <v>22</v>
      </c>
      <c r="E408">
        <v>2</v>
      </c>
      <c r="F408" s="4">
        <v>22.97</v>
      </c>
      <c r="G408" s="4" t="str">
        <f t="shared" si="54"/>
        <v>Premium</v>
      </c>
      <c r="H408" s="4">
        <f t="shared" si="60"/>
        <v>13.781999999999998</v>
      </c>
      <c r="I408">
        <f t="shared" si="55"/>
        <v>45.94</v>
      </c>
      <c r="J408" s="4">
        <f t="shared" si="61"/>
        <v>32.158000000000001</v>
      </c>
      <c r="K408" s="8">
        <f t="shared" si="62"/>
        <v>0.70000000000000007</v>
      </c>
      <c r="L408" t="s">
        <v>15</v>
      </c>
      <c r="M408" s="2">
        <v>45844.340277777781</v>
      </c>
      <c r="N408" s="3">
        <v>45844.340277777781</v>
      </c>
      <c r="O408" t="str">
        <f t="shared" si="56"/>
        <v>Jul</v>
      </c>
      <c r="P408" t="str">
        <f t="shared" si="57"/>
        <v>Sun</v>
      </c>
      <c r="Q408" t="str">
        <f t="shared" si="58"/>
        <v>Weekday</v>
      </c>
      <c r="R408">
        <f t="shared" si="59"/>
        <v>8</v>
      </c>
      <c r="S408" t="s">
        <v>527</v>
      </c>
    </row>
    <row r="409" spans="1:19" x14ac:dyDescent="0.25">
      <c r="A409">
        <v>6017</v>
      </c>
      <c r="B409" t="s">
        <v>460</v>
      </c>
      <c r="C409" t="s">
        <v>9</v>
      </c>
      <c r="D409" t="s">
        <v>10</v>
      </c>
      <c r="E409">
        <v>4</v>
      </c>
      <c r="F409" s="4">
        <v>20.7</v>
      </c>
      <c r="G409" s="4" t="str">
        <f t="shared" si="54"/>
        <v>Premium</v>
      </c>
      <c r="H409" s="4">
        <f t="shared" si="60"/>
        <v>12.42</v>
      </c>
      <c r="I409">
        <f t="shared" si="55"/>
        <v>82.8</v>
      </c>
      <c r="J409" s="4">
        <f t="shared" si="61"/>
        <v>70.38</v>
      </c>
      <c r="K409" s="8">
        <f t="shared" si="62"/>
        <v>0.85</v>
      </c>
      <c r="L409" t="s">
        <v>17</v>
      </c>
      <c r="M409" s="2">
        <v>45844.60601851852</v>
      </c>
      <c r="N409" s="3">
        <v>45844.60601851852</v>
      </c>
      <c r="O409" t="str">
        <f t="shared" si="56"/>
        <v>Jul</v>
      </c>
      <c r="P409" t="str">
        <f t="shared" si="57"/>
        <v>Sun</v>
      </c>
      <c r="Q409" t="str">
        <f t="shared" si="58"/>
        <v>Weekday</v>
      </c>
      <c r="R409">
        <f t="shared" si="59"/>
        <v>14</v>
      </c>
      <c r="S409" t="s">
        <v>528</v>
      </c>
    </row>
    <row r="410" spans="1:19" x14ac:dyDescent="0.25">
      <c r="A410">
        <v>8625</v>
      </c>
      <c r="B410" t="s">
        <v>206</v>
      </c>
      <c r="C410" t="s">
        <v>28</v>
      </c>
      <c r="D410" t="s">
        <v>14</v>
      </c>
      <c r="E410">
        <v>5</v>
      </c>
      <c r="F410" s="4">
        <v>22.96</v>
      </c>
      <c r="G410" s="4" t="str">
        <f t="shared" si="54"/>
        <v>Premium</v>
      </c>
      <c r="H410" s="4">
        <f t="shared" si="60"/>
        <v>13.776</v>
      </c>
      <c r="I410">
        <f t="shared" si="55"/>
        <v>114.80000000000001</v>
      </c>
      <c r="J410" s="4">
        <f t="shared" si="61"/>
        <v>101.02400000000002</v>
      </c>
      <c r="K410" s="8">
        <f t="shared" si="62"/>
        <v>0.88</v>
      </c>
      <c r="L410" t="s">
        <v>15</v>
      </c>
      <c r="M410" s="2">
        <v>45845.196168981478</v>
      </c>
      <c r="N410" s="3">
        <v>45845.196168981478</v>
      </c>
      <c r="O410" t="str">
        <f t="shared" si="56"/>
        <v>Jul</v>
      </c>
      <c r="P410" t="str">
        <f t="shared" si="57"/>
        <v>Mon</v>
      </c>
      <c r="Q410" t="str">
        <f t="shared" si="58"/>
        <v>Weekday</v>
      </c>
      <c r="R410">
        <f t="shared" si="59"/>
        <v>4</v>
      </c>
      <c r="S410" t="s">
        <v>527</v>
      </c>
    </row>
    <row r="411" spans="1:19" x14ac:dyDescent="0.25">
      <c r="A411">
        <v>9764</v>
      </c>
      <c r="B411" t="s">
        <v>148</v>
      </c>
      <c r="C411" t="s">
        <v>37</v>
      </c>
      <c r="D411" t="s">
        <v>10</v>
      </c>
      <c r="E411">
        <v>5</v>
      </c>
      <c r="F411" s="4">
        <v>18.14</v>
      </c>
      <c r="G411" s="4" t="str">
        <f t="shared" si="54"/>
        <v>Mid-Range</v>
      </c>
      <c r="H411" s="4">
        <f t="shared" si="60"/>
        <v>10.884</v>
      </c>
      <c r="I411">
        <f t="shared" si="55"/>
        <v>90.7</v>
      </c>
      <c r="J411" s="4">
        <f t="shared" si="61"/>
        <v>79.816000000000003</v>
      </c>
      <c r="K411" s="8">
        <f t="shared" si="62"/>
        <v>0.88</v>
      </c>
      <c r="L411" t="s">
        <v>15</v>
      </c>
      <c r="M411" s="2">
        <v>45846.208032407405</v>
      </c>
      <c r="N411" s="3">
        <v>45846.208032407405</v>
      </c>
      <c r="O411" t="str">
        <f t="shared" si="56"/>
        <v>Jul</v>
      </c>
      <c r="P411" t="str">
        <f t="shared" si="57"/>
        <v>Tue</v>
      </c>
      <c r="Q411" t="str">
        <f t="shared" si="58"/>
        <v>Weekday</v>
      </c>
      <c r="R411">
        <f t="shared" si="59"/>
        <v>4</v>
      </c>
      <c r="S411" t="s">
        <v>527</v>
      </c>
    </row>
    <row r="412" spans="1:19" x14ac:dyDescent="0.25">
      <c r="A412">
        <v>3502</v>
      </c>
      <c r="B412" t="s">
        <v>254</v>
      </c>
      <c r="C412" t="s">
        <v>33</v>
      </c>
      <c r="D412" t="s">
        <v>14</v>
      </c>
      <c r="E412">
        <v>3</v>
      </c>
      <c r="F412" s="4">
        <v>23.47</v>
      </c>
      <c r="G412" s="4" t="str">
        <f t="shared" si="54"/>
        <v>Premium</v>
      </c>
      <c r="H412" s="4">
        <f t="shared" si="60"/>
        <v>14.081999999999999</v>
      </c>
      <c r="I412">
        <f t="shared" si="55"/>
        <v>70.41</v>
      </c>
      <c r="J412" s="4">
        <f t="shared" si="61"/>
        <v>56.327999999999996</v>
      </c>
      <c r="K412" s="8">
        <f t="shared" si="62"/>
        <v>0.79999999999999993</v>
      </c>
      <c r="L412" t="s">
        <v>17</v>
      </c>
      <c r="M412" s="2">
        <v>45846.344444444447</v>
      </c>
      <c r="N412" s="3">
        <v>45846.344444444447</v>
      </c>
      <c r="O412" t="str">
        <f t="shared" si="56"/>
        <v>Jul</v>
      </c>
      <c r="P412" t="str">
        <f t="shared" si="57"/>
        <v>Tue</v>
      </c>
      <c r="Q412" t="str">
        <f t="shared" si="58"/>
        <v>Weekday</v>
      </c>
      <c r="R412">
        <f t="shared" si="59"/>
        <v>8</v>
      </c>
      <c r="S412" t="s">
        <v>527</v>
      </c>
    </row>
    <row r="413" spans="1:19" x14ac:dyDescent="0.25">
      <c r="A413">
        <v>1574</v>
      </c>
      <c r="B413" t="s">
        <v>393</v>
      </c>
      <c r="C413" t="s">
        <v>40</v>
      </c>
      <c r="D413" t="s">
        <v>22</v>
      </c>
      <c r="E413">
        <v>2</v>
      </c>
      <c r="F413" s="4">
        <v>18.47</v>
      </c>
      <c r="G413" s="4" t="str">
        <f t="shared" si="54"/>
        <v>Mid-Range</v>
      </c>
      <c r="H413" s="4">
        <f t="shared" si="60"/>
        <v>11.081999999999999</v>
      </c>
      <c r="I413">
        <f t="shared" si="55"/>
        <v>36.94</v>
      </c>
      <c r="J413" s="4">
        <f t="shared" si="61"/>
        <v>25.857999999999997</v>
      </c>
      <c r="K413" s="8">
        <f t="shared" si="62"/>
        <v>0.7</v>
      </c>
      <c r="L413" t="s">
        <v>17</v>
      </c>
      <c r="M413" s="2">
        <v>45846.67083333333</v>
      </c>
      <c r="N413" s="3">
        <v>45846.67083333333</v>
      </c>
      <c r="O413" t="str">
        <f t="shared" si="56"/>
        <v>Jul</v>
      </c>
      <c r="P413" t="str">
        <f t="shared" si="57"/>
        <v>Tue</v>
      </c>
      <c r="Q413" t="str">
        <f t="shared" si="58"/>
        <v>Weekday</v>
      </c>
      <c r="R413">
        <f t="shared" si="59"/>
        <v>16</v>
      </c>
      <c r="S413" t="s">
        <v>528</v>
      </c>
    </row>
    <row r="414" spans="1:19" x14ac:dyDescent="0.25">
      <c r="A414">
        <v>6096</v>
      </c>
      <c r="B414" t="s">
        <v>515</v>
      </c>
      <c r="C414" t="s">
        <v>13</v>
      </c>
      <c r="D414" t="s">
        <v>14</v>
      </c>
      <c r="E414">
        <v>1</v>
      </c>
      <c r="F414" s="4">
        <v>2.59</v>
      </c>
      <c r="G414" s="4" t="str">
        <f t="shared" si="54"/>
        <v>Budget</v>
      </c>
      <c r="H414" s="4">
        <f t="shared" si="60"/>
        <v>1.5539999999999998</v>
      </c>
      <c r="I414">
        <f t="shared" si="55"/>
        <v>2.59</v>
      </c>
      <c r="J414" s="4">
        <f t="shared" si="61"/>
        <v>1.036</v>
      </c>
      <c r="K414" s="8">
        <f t="shared" si="62"/>
        <v>0.4</v>
      </c>
      <c r="L414" t="s">
        <v>19</v>
      </c>
      <c r="M414" s="2">
        <v>45847.369629629633</v>
      </c>
      <c r="N414" s="3">
        <v>45847.369629629633</v>
      </c>
      <c r="O414" t="str">
        <f t="shared" si="56"/>
        <v>Jul</v>
      </c>
      <c r="P414" t="str">
        <f t="shared" si="57"/>
        <v>Wed</v>
      </c>
      <c r="Q414" t="str">
        <f t="shared" si="58"/>
        <v>Weekday</v>
      </c>
      <c r="R414">
        <f t="shared" si="59"/>
        <v>8</v>
      </c>
      <c r="S414" t="s">
        <v>527</v>
      </c>
    </row>
    <row r="415" spans="1:19" x14ac:dyDescent="0.25">
      <c r="A415">
        <v>2144</v>
      </c>
      <c r="B415" t="s">
        <v>463</v>
      </c>
      <c r="C415" t="s">
        <v>28</v>
      </c>
      <c r="D415" t="s">
        <v>14</v>
      </c>
      <c r="E415">
        <v>5</v>
      </c>
      <c r="F415" s="4">
        <v>13.65</v>
      </c>
      <c r="G415" s="4" t="str">
        <f t="shared" si="54"/>
        <v>Mid-Range</v>
      </c>
      <c r="H415" s="4">
        <f t="shared" si="60"/>
        <v>8.19</v>
      </c>
      <c r="I415">
        <f t="shared" si="55"/>
        <v>68.25</v>
      </c>
      <c r="J415" s="4">
        <f t="shared" si="61"/>
        <v>60.06</v>
      </c>
      <c r="K415" s="8">
        <f t="shared" si="62"/>
        <v>0.88</v>
      </c>
      <c r="L415" t="s">
        <v>11</v>
      </c>
      <c r="M415" s="2">
        <v>45848.139594907407</v>
      </c>
      <c r="N415" s="3">
        <v>45848.139594907407</v>
      </c>
      <c r="O415" t="str">
        <f t="shared" si="56"/>
        <v>Jul</v>
      </c>
      <c r="P415" t="str">
        <f t="shared" si="57"/>
        <v>Thu</v>
      </c>
      <c r="Q415" t="str">
        <f t="shared" si="58"/>
        <v>Weekday</v>
      </c>
      <c r="R415">
        <f t="shared" si="59"/>
        <v>3</v>
      </c>
      <c r="S415" t="s">
        <v>527</v>
      </c>
    </row>
    <row r="416" spans="1:19" x14ac:dyDescent="0.25">
      <c r="A416">
        <v>1425</v>
      </c>
      <c r="B416" t="s">
        <v>277</v>
      </c>
      <c r="C416" t="s">
        <v>33</v>
      </c>
      <c r="D416" t="s">
        <v>14</v>
      </c>
      <c r="E416">
        <v>3</v>
      </c>
      <c r="F416" s="4">
        <v>24.52</v>
      </c>
      <c r="G416" s="4" t="str">
        <f t="shared" si="54"/>
        <v>Premium</v>
      </c>
      <c r="H416" s="4">
        <f t="shared" si="60"/>
        <v>14.712</v>
      </c>
      <c r="I416">
        <f t="shared" si="55"/>
        <v>73.56</v>
      </c>
      <c r="J416" s="4">
        <f t="shared" si="61"/>
        <v>58.847999999999999</v>
      </c>
      <c r="K416" s="8">
        <f t="shared" si="62"/>
        <v>0.79999999999999993</v>
      </c>
      <c r="L416" t="s">
        <v>15</v>
      </c>
      <c r="M416" s="2">
        <v>45848.806400462963</v>
      </c>
      <c r="N416" s="3">
        <v>45848.806400462963</v>
      </c>
      <c r="O416" t="str">
        <f t="shared" si="56"/>
        <v>Jul</v>
      </c>
      <c r="P416" t="str">
        <f t="shared" si="57"/>
        <v>Thu</v>
      </c>
      <c r="Q416" t="str">
        <f t="shared" si="58"/>
        <v>Weekday</v>
      </c>
      <c r="R416">
        <f t="shared" si="59"/>
        <v>19</v>
      </c>
      <c r="S416" t="s">
        <v>529</v>
      </c>
    </row>
    <row r="417" spans="1:19" x14ac:dyDescent="0.25">
      <c r="A417">
        <v>8851</v>
      </c>
      <c r="B417" t="s">
        <v>228</v>
      </c>
      <c r="C417" t="s">
        <v>28</v>
      </c>
      <c r="D417" t="s">
        <v>14</v>
      </c>
      <c r="E417">
        <v>3</v>
      </c>
      <c r="F417" s="4">
        <v>8.0299999999999994</v>
      </c>
      <c r="G417" s="4" t="str">
        <f t="shared" si="54"/>
        <v>Budget</v>
      </c>
      <c r="H417" s="4">
        <f t="shared" si="60"/>
        <v>4.8179999999999996</v>
      </c>
      <c r="I417">
        <f t="shared" si="55"/>
        <v>24.089999999999996</v>
      </c>
      <c r="J417" s="4">
        <f t="shared" si="61"/>
        <v>19.271999999999998</v>
      </c>
      <c r="K417" s="8">
        <f t="shared" si="62"/>
        <v>0.8</v>
      </c>
      <c r="L417" t="s">
        <v>11</v>
      </c>
      <c r="M417" s="2">
        <v>45848.911840277775</v>
      </c>
      <c r="N417" s="3">
        <v>45848.911840277775</v>
      </c>
      <c r="O417" t="str">
        <f t="shared" si="56"/>
        <v>Jul</v>
      </c>
      <c r="P417" t="str">
        <f t="shared" si="57"/>
        <v>Thu</v>
      </c>
      <c r="Q417" t="str">
        <f t="shared" si="58"/>
        <v>Weekday</v>
      </c>
      <c r="R417">
        <f t="shared" si="59"/>
        <v>21</v>
      </c>
      <c r="S417" t="s">
        <v>529</v>
      </c>
    </row>
    <row r="418" spans="1:19" x14ac:dyDescent="0.25">
      <c r="A418">
        <v>6092</v>
      </c>
      <c r="B418" t="s">
        <v>318</v>
      </c>
      <c r="C418" t="s">
        <v>35</v>
      </c>
      <c r="D418" t="s">
        <v>22</v>
      </c>
      <c r="E418">
        <v>5</v>
      </c>
      <c r="F418" s="4">
        <v>21.43</v>
      </c>
      <c r="G418" s="4" t="str">
        <f t="shared" si="54"/>
        <v>Premium</v>
      </c>
      <c r="H418" s="4">
        <f t="shared" si="60"/>
        <v>12.857999999999999</v>
      </c>
      <c r="I418">
        <f t="shared" si="55"/>
        <v>107.15</v>
      </c>
      <c r="J418" s="4">
        <f t="shared" si="61"/>
        <v>94.292000000000002</v>
      </c>
      <c r="K418" s="8">
        <f t="shared" si="62"/>
        <v>0.88</v>
      </c>
      <c r="L418" t="s">
        <v>11</v>
      </c>
      <c r="M418" s="2">
        <v>45849.195937500001</v>
      </c>
      <c r="N418" s="3">
        <v>45849.195937500001</v>
      </c>
      <c r="O418" t="str">
        <f t="shared" si="56"/>
        <v>Jul</v>
      </c>
      <c r="P418" t="str">
        <f t="shared" si="57"/>
        <v>Fri</v>
      </c>
      <c r="Q418" t="str">
        <f t="shared" si="58"/>
        <v>Weekend</v>
      </c>
      <c r="R418">
        <f t="shared" si="59"/>
        <v>4</v>
      </c>
      <c r="S418" t="s">
        <v>527</v>
      </c>
    </row>
    <row r="419" spans="1:19" x14ac:dyDescent="0.25">
      <c r="A419">
        <v>1486</v>
      </c>
      <c r="B419" t="s">
        <v>49</v>
      </c>
      <c r="C419" t="s">
        <v>35</v>
      </c>
      <c r="D419" t="s">
        <v>22</v>
      </c>
      <c r="E419">
        <v>3</v>
      </c>
      <c r="F419" s="4">
        <v>15.77</v>
      </c>
      <c r="G419" s="4" t="str">
        <f t="shared" si="54"/>
        <v>Mid-Range</v>
      </c>
      <c r="H419" s="4">
        <f t="shared" si="60"/>
        <v>9.4619999999999997</v>
      </c>
      <c r="I419">
        <f t="shared" si="55"/>
        <v>47.31</v>
      </c>
      <c r="J419" s="4">
        <f t="shared" si="61"/>
        <v>37.847999999999999</v>
      </c>
      <c r="K419" s="8">
        <f t="shared" si="62"/>
        <v>0.79999999999999993</v>
      </c>
      <c r="L419" t="s">
        <v>15</v>
      </c>
      <c r="M419" s="2">
        <v>45849.31144675926</v>
      </c>
      <c r="N419" s="3">
        <v>45849.31144675926</v>
      </c>
      <c r="O419" t="str">
        <f t="shared" si="56"/>
        <v>Jul</v>
      </c>
      <c r="P419" t="str">
        <f t="shared" si="57"/>
        <v>Fri</v>
      </c>
      <c r="Q419" t="str">
        <f t="shared" si="58"/>
        <v>Weekend</v>
      </c>
      <c r="R419">
        <f t="shared" si="59"/>
        <v>7</v>
      </c>
      <c r="S419" t="s">
        <v>527</v>
      </c>
    </row>
    <row r="420" spans="1:19" x14ac:dyDescent="0.25">
      <c r="A420">
        <v>2151</v>
      </c>
      <c r="B420" t="s">
        <v>103</v>
      </c>
      <c r="C420" t="s">
        <v>40</v>
      </c>
      <c r="D420" t="s">
        <v>22</v>
      </c>
      <c r="E420">
        <v>4</v>
      </c>
      <c r="F420" s="4">
        <v>4.45</v>
      </c>
      <c r="G420" s="4" t="str">
        <f t="shared" si="54"/>
        <v>Budget</v>
      </c>
      <c r="H420" s="4">
        <f t="shared" si="60"/>
        <v>2.67</v>
      </c>
      <c r="I420">
        <f t="shared" si="55"/>
        <v>17.8</v>
      </c>
      <c r="J420" s="4">
        <f t="shared" si="61"/>
        <v>15.13</v>
      </c>
      <c r="K420" s="8">
        <f t="shared" si="62"/>
        <v>0.85</v>
      </c>
      <c r="L420" t="s">
        <v>11</v>
      </c>
      <c r="M420" s="2">
        <v>45850.359849537039</v>
      </c>
      <c r="N420" s="3">
        <v>45850.359849537039</v>
      </c>
      <c r="O420" t="str">
        <f t="shared" si="56"/>
        <v>Jul</v>
      </c>
      <c r="P420" t="str">
        <f t="shared" si="57"/>
        <v>Sat</v>
      </c>
      <c r="Q420" t="str">
        <f t="shared" si="58"/>
        <v>Weekend</v>
      </c>
      <c r="R420">
        <f t="shared" si="59"/>
        <v>8</v>
      </c>
      <c r="S420" t="s">
        <v>527</v>
      </c>
    </row>
    <row r="421" spans="1:19" x14ac:dyDescent="0.25">
      <c r="A421">
        <v>6635</v>
      </c>
      <c r="B421" t="s">
        <v>509</v>
      </c>
      <c r="C421" t="s">
        <v>37</v>
      </c>
      <c r="D421" t="s">
        <v>10</v>
      </c>
      <c r="E421">
        <v>4</v>
      </c>
      <c r="F421" s="4">
        <v>21.66</v>
      </c>
      <c r="G421" s="4" t="str">
        <f t="shared" si="54"/>
        <v>Premium</v>
      </c>
      <c r="H421" s="4">
        <f t="shared" si="60"/>
        <v>12.996</v>
      </c>
      <c r="I421">
        <f t="shared" si="55"/>
        <v>86.64</v>
      </c>
      <c r="J421" s="4">
        <f t="shared" si="61"/>
        <v>73.644000000000005</v>
      </c>
      <c r="K421" s="8">
        <f t="shared" si="62"/>
        <v>0.85000000000000009</v>
      </c>
      <c r="L421" t="s">
        <v>17</v>
      </c>
      <c r="M421" s="2">
        <v>45850.396412037036</v>
      </c>
      <c r="N421" s="3">
        <v>45850.396412037036</v>
      </c>
      <c r="O421" t="str">
        <f t="shared" si="56"/>
        <v>Jul</v>
      </c>
      <c r="P421" t="str">
        <f t="shared" si="57"/>
        <v>Sat</v>
      </c>
      <c r="Q421" t="str">
        <f t="shared" si="58"/>
        <v>Weekend</v>
      </c>
      <c r="R421">
        <f t="shared" si="59"/>
        <v>9</v>
      </c>
      <c r="S421" t="s">
        <v>527</v>
      </c>
    </row>
    <row r="422" spans="1:19" x14ac:dyDescent="0.25">
      <c r="A422">
        <v>4559</v>
      </c>
      <c r="B422" t="s">
        <v>287</v>
      </c>
      <c r="C422" t="s">
        <v>35</v>
      </c>
      <c r="D422" t="s">
        <v>22</v>
      </c>
      <c r="E422">
        <v>3</v>
      </c>
      <c r="F422" s="4">
        <v>20.32</v>
      </c>
      <c r="G422" s="4" t="str">
        <f t="shared" si="54"/>
        <v>Premium</v>
      </c>
      <c r="H422" s="4">
        <f t="shared" si="60"/>
        <v>12.192</v>
      </c>
      <c r="I422">
        <f t="shared" si="55"/>
        <v>60.96</v>
      </c>
      <c r="J422" s="4">
        <f t="shared" si="61"/>
        <v>48.768000000000001</v>
      </c>
      <c r="K422" s="8">
        <f t="shared" si="62"/>
        <v>0.8</v>
      </c>
      <c r="L422" t="s">
        <v>11</v>
      </c>
      <c r="M422" s="2">
        <v>45851.510775462964</v>
      </c>
      <c r="N422" s="3">
        <v>45851.510775462964</v>
      </c>
      <c r="O422" t="str">
        <f t="shared" si="56"/>
        <v>Jul</v>
      </c>
      <c r="P422" t="str">
        <f t="shared" si="57"/>
        <v>Sun</v>
      </c>
      <c r="Q422" t="str">
        <f t="shared" si="58"/>
        <v>Weekday</v>
      </c>
      <c r="R422">
        <f t="shared" si="59"/>
        <v>12</v>
      </c>
      <c r="S422" t="s">
        <v>528</v>
      </c>
    </row>
    <row r="423" spans="1:19" x14ac:dyDescent="0.25">
      <c r="A423">
        <v>7605</v>
      </c>
      <c r="B423" t="s">
        <v>77</v>
      </c>
      <c r="C423" t="s">
        <v>9</v>
      </c>
      <c r="D423" t="s">
        <v>10</v>
      </c>
      <c r="E423">
        <v>4</v>
      </c>
      <c r="F423" s="4">
        <v>23.55</v>
      </c>
      <c r="G423" s="4" t="str">
        <f t="shared" si="54"/>
        <v>Premium</v>
      </c>
      <c r="H423" s="4">
        <f t="shared" si="60"/>
        <v>14.13</v>
      </c>
      <c r="I423">
        <f t="shared" si="55"/>
        <v>94.2</v>
      </c>
      <c r="J423" s="4">
        <f t="shared" si="61"/>
        <v>80.070000000000007</v>
      </c>
      <c r="K423" s="8">
        <f t="shared" si="62"/>
        <v>0.85000000000000009</v>
      </c>
      <c r="L423" t="s">
        <v>17</v>
      </c>
      <c r="M423" s="2">
        <v>45851.529363425929</v>
      </c>
      <c r="N423" s="3">
        <v>45851.529363425929</v>
      </c>
      <c r="O423" t="str">
        <f t="shared" si="56"/>
        <v>Jul</v>
      </c>
      <c r="P423" t="str">
        <f t="shared" si="57"/>
        <v>Sun</v>
      </c>
      <c r="Q423" t="str">
        <f t="shared" si="58"/>
        <v>Weekday</v>
      </c>
      <c r="R423">
        <f t="shared" si="59"/>
        <v>12</v>
      </c>
      <c r="S423" t="s">
        <v>528</v>
      </c>
    </row>
    <row r="424" spans="1:19" x14ac:dyDescent="0.25">
      <c r="A424">
        <v>5948</v>
      </c>
      <c r="B424" t="s">
        <v>244</v>
      </c>
      <c r="C424" t="s">
        <v>28</v>
      </c>
      <c r="D424" t="s">
        <v>14</v>
      </c>
      <c r="E424">
        <v>1</v>
      </c>
      <c r="F424" s="4">
        <v>11.95</v>
      </c>
      <c r="G424" s="4" t="str">
        <f t="shared" si="54"/>
        <v>Mid-Range</v>
      </c>
      <c r="H424" s="4">
        <f t="shared" si="60"/>
        <v>7.169999999999999</v>
      </c>
      <c r="I424">
        <f t="shared" si="55"/>
        <v>11.95</v>
      </c>
      <c r="J424" s="4">
        <f t="shared" si="61"/>
        <v>4.78</v>
      </c>
      <c r="K424" s="8">
        <f t="shared" si="62"/>
        <v>0.4</v>
      </c>
      <c r="L424" t="s">
        <v>15</v>
      </c>
      <c r="M424" s="2">
        <v>45852.347743055558</v>
      </c>
      <c r="N424" s="3">
        <v>45852.347743055558</v>
      </c>
      <c r="O424" t="str">
        <f t="shared" si="56"/>
        <v>Jul</v>
      </c>
      <c r="P424" t="str">
        <f t="shared" si="57"/>
        <v>Mon</v>
      </c>
      <c r="Q424" t="str">
        <f t="shared" si="58"/>
        <v>Weekday</v>
      </c>
      <c r="R424">
        <f t="shared" si="59"/>
        <v>8</v>
      </c>
      <c r="S424" t="s">
        <v>527</v>
      </c>
    </row>
    <row r="425" spans="1:19" x14ac:dyDescent="0.25">
      <c r="A425">
        <v>5913</v>
      </c>
      <c r="B425" t="s">
        <v>333</v>
      </c>
      <c r="C425" t="s">
        <v>21</v>
      </c>
      <c r="D425" t="s">
        <v>22</v>
      </c>
      <c r="E425">
        <v>2</v>
      </c>
      <c r="F425" s="4">
        <v>6.12</v>
      </c>
      <c r="G425" s="4" t="str">
        <f t="shared" si="54"/>
        <v>Budget</v>
      </c>
      <c r="H425" s="4">
        <f t="shared" si="60"/>
        <v>3.6719999999999997</v>
      </c>
      <c r="I425">
        <f t="shared" si="55"/>
        <v>12.24</v>
      </c>
      <c r="J425" s="4">
        <f t="shared" si="61"/>
        <v>8.5680000000000014</v>
      </c>
      <c r="K425" s="8">
        <f t="shared" si="62"/>
        <v>0.70000000000000007</v>
      </c>
      <c r="L425" t="s">
        <v>17</v>
      </c>
      <c r="M425" s="2">
        <v>45852.526574074072</v>
      </c>
      <c r="N425" s="3">
        <v>45852.526574074072</v>
      </c>
      <c r="O425" t="str">
        <f t="shared" si="56"/>
        <v>Jul</v>
      </c>
      <c r="P425" t="str">
        <f t="shared" si="57"/>
        <v>Mon</v>
      </c>
      <c r="Q425" t="str">
        <f t="shared" si="58"/>
        <v>Weekday</v>
      </c>
      <c r="R425">
        <f t="shared" si="59"/>
        <v>12</v>
      </c>
      <c r="S425" t="s">
        <v>528</v>
      </c>
    </row>
    <row r="426" spans="1:19" x14ac:dyDescent="0.25">
      <c r="A426">
        <v>9450</v>
      </c>
      <c r="B426" t="s">
        <v>474</v>
      </c>
      <c r="C426" t="s">
        <v>40</v>
      </c>
      <c r="D426" t="s">
        <v>22</v>
      </c>
      <c r="E426">
        <v>3</v>
      </c>
      <c r="F426" s="4">
        <v>22.03</v>
      </c>
      <c r="G426" s="4" t="str">
        <f t="shared" si="54"/>
        <v>Premium</v>
      </c>
      <c r="H426" s="4">
        <f t="shared" si="60"/>
        <v>13.218</v>
      </c>
      <c r="I426">
        <f t="shared" si="55"/>
        <v>66.09</v>
      </c>
      <c r="J426" s="4">
        <f t="shared" si="61"/>
        <v>52.872</v>
      </c>
      <c r="K426" s="8">
        <f t="shared" si="62"/>
        <v>0.79999999999999993</v>
      </c>
      <c r="L426" t="s">
        <v>19</v>
      </c>
      <c r="M426" s="2">
        <v>45852.538576388892</v>
      </c>
      <c r="N426" s="3">
        <v>45852.538576388892</v>
      </c>
      <c r="O426" t="str">
        <f t="shared" si="56"/>
        <v>Jul</v>
      </c>
      <c r="P426" t="str">
        <f t="shared" si="57"/>
        <v>Mon</v>
      </c>
      <c r="Q426" t="str">
        <f t="shared" si="58"/>
        <v>Weekday</v>
      </c>
      <c r="R426">
        <f t="shared" si="59"/>
        <v>12</v>
      </c>
      <c r="S426" t="s">
        <v>528</v>
      </c>
    </row>
    <row r="427" spans="1:19" x14ac:dyDescent="0.25">
      <c r="A427">
        <v>2780</v>
      </c>
      <c r="B427" t="s">
        <v>263</v>
      </c>
      <c r="C427" t="s">
        <v>35</v>
      </c>
      <c r="D427" t="s">
        <v>22</v>
      </c>
      <c r="E427">
        <v>3</v>
      </c>
      <c r="F427" s="4">
        <v>8.6</v>
      </c>
      <c r="G427" s="4" t="str">
        <f t="shared" si="54"/>
        <v>Budget</v>
      </c>
      <c r="H427" s="4">
        <f t="shared" si="60"/>
        <v>5.1599999999999993</v>
      </c>
      <c r="I427">
        <f t="shared" si="55"/>
        <v>25.799999999999997</v>
      </c>
      <c r="J427" s="4">
        <f t="shared" si="61"/>
        <v>20.639999999999997</v>
      </c>
      <c r="K427" s="8">
        <f t="shared" si="62"/>
        <v>0.79999999999999993</v>
      </c>
      <c r="L427" t="s">
        <v>17</v>
      </c>
      <c r="M427" s="2">
        <v>45852.577268518522</v>
      </c>
      <c r="N427" s="3">
        <v>45852.577268518522</v>
      </c>
      <c r="O427" t="str">
        <f t="shared" si="56"/>
        <v>Jul</v>
      </c>
      <c r="P427" t="str">
        <f t="shared" si="57"/>
        <v>Mon</v>
      </c>
      <c r="Q427" t="str">
        <f t="shared" si="58"/>
        <v>Weekday</v>
      </c>
      <c r="R427">
        <f t="shared" si="59"/>
        <v>13</v>
      </c>
      <c r="S427" t="s">
        <v>528</v>
      </c>
    </row>
    <row r="428" spans="1:19" x14ac:dyDescent="0.25">
      <c r="A428">
        <v>7792</v>
      </c>
      <c r="B428" t="s">
        <v>407</v>
      </c>
      <c r="C428" t="s">
        <v>40</v>
      </c>
      <c r="D428" t="s">
        <v>22</v>
      </c>
      <c r="E428">
        <v>1</v>
      </c>
      <c r="F428" s="4">
        <v>6.8</v>
      </c>
      <c r="G428" s="4" t="str">
        <f t="shared" si="54"/>
        <v>Budget</v>
      </c>
      <c r="H428" s="4">
        <f t="shared" si="60"/>
        <v>4.08</v>
      </c>
      <c r="I428">
        <f t="shared" si="55"/>
        <v>6.8</v>
      </c>
      <c r="J428" s="4">
        <f t="shared" si="61"/>
        <v>2.7199999999999998</v>
      </c>
      <c r="K428" s="8">
        <f t="shared" si="62"/>
        <v>0.39999999999999997</v>
      </c>
      <c r="L428" t="s">
        <v>15</v>
      </c>
      <c r="M428" s="2">
        <v>45852.612384259257</v>
      </c>
      <c r="N428" s="3">
        <v>45852.612384259257</v>
      </c>
      <c r="O428" t="str">
        <f t="shared" si="56"/>
        <v>Jul</v>
      </c>
      <c r="P428" t="str">
        <f t="shared" si="57"/>
        <v>Mon</v>
      </c>
      <c r="Q428" t="str">
        <f t="shared" si="58"/>
        <v>Weekday</v>
      </c>
      <c r="R428">
        <f t="shared" si="59"/>
        <v>14</v>
      </c>
      <c r="S428" t="s">
        <v>528</v>
      </c>
    </row>
    <row r="429" spans="1:19" x14ac:dyDescent="0.25">
      <c r="A429">
        <v>9836</v>
      </c>
      <c r="B429" t="s">
        <v>517</v>
      </c>
      <c r="C429" t="s">
        <v>21</v>
      </c>
      <c r="D429" t="s">
        <v>22</v>
      </c>
      <c r="E429">
        <v>3</v>
      </c>
      <c r="F429" s="4">
        <v>15.99</v>
      </c>
      <c r="G429" s="4" t="str">
        <f t="shared" si="54"/>
        <v>Mid-Range</v>
      </c>
      <c r="H429" s="4">
        <f t="shared" si="60"/>
        <v>9.5939999999999994</v>
      </c>
      <c r="I429">
        <f t="shared" si="55"/>
        <v>47.97</v>
      </c>
      <c r="J429" s="4">
        <f t="shared" si="61"/>
        <v>38.375999999999998</v>
      </c>
      <c r="K429" s="8">
        <f t="shared" si="62"/>
        <v>0.79999999999999993</v>
      </c>
      <c r="L429" t="s">
        <v>15</v>
      </c>
      <c r="M429" s="2">
        <v>45853.625219907408</v>
      </c>
      <c r="N429" s="3">
        <v>45853.625219907408</v>
      </c>
      <c r="O429" t="str">
        <f t="shared" si="56"/>
        <v>Jul</v>
      </c>
      <c r="P429" t="str">
        <f t="shared" si="57"/>
        <v>Tue</v>
      </c>
      <c r="Q429" t="str">
        <f t="shared" si="58"/>
        <v>Weekday</v>
      </c>
      <c r="R429">
        <f t="shared" si="59"/>
        <v>15</v>
      </c>
      <c r="S429" t="s">
        <v>528</v>
      </c>
    </row>
    <row r="430" spans="1:19" x14ac:dyDescent="0.25">
      <c r="A430">
        <v>6280</v>
      </c>
      <c r="B430" t="s">
        <v>372</v>
      </c>
      <c r="C430" t="s">
        <v>33</v>
      </c>
      <c r="D430" t="s">
        <v>14</v>
      </c>
      <c r="E430">
        <v>1</v>
      </c>
      <c r="F430" s="4">
        <v>16.940000000000001</v>
      </c>
      <c r="G430" s="4" t="str">
        <f t="shared" si="54"/>
        <v>Mid-Range</v>
      </c>
      <c r="H430" s="4">
        <f t="shared" si="60"/>
        <v>10.164</v>
      </c>
      <c r="I430">
        <f t="shared" si="55"/>
        <v>16.940000000000001</v>
      </c>
      <c r="J430" s="4">
        <f t="shared" si="61"/>
        <v>6.7760000000000016</v>
      </c>
      <c r="K430" s="8">
        <f t="shared" si="62"/>
        <v>0.40000000000000008</v>
      </c>
      <c r="L430" t="s">
        <v>11</v>
      </c>
      <c r="M430" s="2">
        <v>45853.961886574078</v>
      </c>
      <c r="N430" s="3">
        <v>45853.961886574078</v>
      </c>
      <c r="O430" t="str">
        <f t="shared" si="56"/>
        <v>Jul</v>
      </c>
      <c r="P430" t="str">
        <f t="shared" si="57"/>
        <v>Tue</v>
      </c>
      <c r="Q430" t="str">
        <f t="shared" si="58"/>
        <v>Weekday</v>
      </c>
      <c r="R430">
        <f t="shared" si="59"/>
        <v>23</v>
      </c>
      <c r="S430" t="s">
        <v>529</v>
      </c>
    </row>
    <row r="431" spans="1:19" x14ac:dyDescent="0.25">
      <c r="A431">
        <v>6389</v>
      </c>
      <c r="B431" t="s">
        <v>319</v>
      </c>
      <c r="C431" t="s">
        <v>21</v>
      </c>
      <c r="D431" t="s">
        <v>22</v>
      </c>
      <c r="E431">
        <v>5</v>
      </c>
      <c r="F431" s="4">
        <v>14.74</v>
      </c>
      <c r="G431" s="4" t="str">
        <f t="shared" si="54"/>
        <v>Mid-Range</v>
      </c>
      <c r="H431" s="4">
        <f t="shared" si="60"/>
        <v>8.8439999999999994</v>
      </c>
      <c r="I431">
        <f t="shared" si="55"/>
        <v>73.7</v>
      </c>
      <c r="J431" s="4">
        <f t="shared" si="61"/>
        <v>64.856000000000009</v>
      </c>
      <c r="K431" s="8">
        <f t="shared" si="62"/>
        <v>0.88000000000000012</v>
      </c>
      <c r="L431" t="s">
        <v>11</v>
      </c>
      <c r="M431" s="2">
        <v>45854.413414351853</v>
      </c>
      <c r="N431" s="3">
        <v>45854.413414351853</v>
      </c>
      <c r="O431" t="str">
        <f t="shared" si="56"/>
        <v>Jul</v>
      </c>
      <c r="P431" t="str">
        <f t="shared" si="57"/>
        <v>Wed</v>
      </c>
      <c r="Q431" t="str">
        <f t="shared" si="58"/>
        <v>Weekday</v>
      </c>
      <c r="R431">
        <f t="shared" si="59"/>
        <v>9</v>
      </c>
      <c r="S431" t="s">
        <v>527</v>
      </c>
    </row>
    <row r="432" spans="1:19" x14ac:dyDescent="0.25">
      <c r="A432">
        <v>3765</v>
      </c>
      <c r="B432" t="s">
        <v>444</v>
      </c>
      <c r="C432" t="s">
        <v>28</v>
      </c>
      <c r="D432" t="s">
        <v>14</v>
      </c>
      <c r="E432">
        <v>3</v>
      </c>
      <c r="F432" s="4">
        <v>7.48</v>
      </c>
      <c r="G432" s="4" t="str">
        <f t="shared" si="54"/>
        <v>Budget</v>
      </c>
      <c r="H432" s="4">
        <f t="shared" si="60"/>
        <v>4.4880000000000004</v>
      </c>
      <c r="I432">
        <f t="shared" si="55"/>
        <v>22.44</v>
      </c>
      <c r="J432" s="4">
        <f t="shared" si="61"/>
        <v>17.952000000000002</v>
      </c>
      <c r="K432" s="8">
        <f t="shared" si="62"/>
        <v>0.8</v>
      </c>
      <c r="L432" t="s">
        <v>19</v>
      </c>
      <c r="M432" s="2">
        <v>45854.568298611113</v>
      </c>
      <c r="N432" s="3">
        <v>45854.568298611113</v>
      </c>
      <c r="O432" t="str">
        <f t="shared" si="56"/>
        <v>Jul</v>
      </c>
      <c r="P432" t="str">
        <f t="shared" si="57"/>
        <v>Wed</v>
      </c>
      <c r="Q432" t="str">
        <f t="shared" si="58"/>
        <v>Weekday</v>
      </c>
      <c r="R432">
        <f t="shared" si="59"/>
        <v>13</v>
      </c>
      <c r="S432" t="s">
        <v>528</v>
      </c>
    </row>
    <row r="433" spans="1:19" x14ac:dyDescent="0.25">
      <c r="A433">
        <v>3025</v>
      </c>
      <c r="B433" t="s">
        <v>169</v>
      </c>
      <c r="C433" t="s">
        <v>13</v>
      </c>
      <c r="D433" t="s">
        <v>14</v>
      </c>
      <c r="E433">
        <v>4</v>
      </c>
      <c r="F433" s="4">
        <v>14.35</v>
      </c>
      <c r="G433" s="4" t="str">
        <f t="shared" si="54"/>
        <v>Mid-Range</v>
      </c>
      <c r="H433" s="4">
        <f t="shared" si="60"/>
        <v>8.61</v>
      </c>
      <c r="I433">
        <f t="shared" si="55"/>
        <v>57.4</v>
      </c>
      <c r="J433" s="4">
        <f t="shared" si="61"/>
        <v>48.79</v>
      </c>
      <c r="K433" s="8">
        <f t="shared" si="62"/>
        <v>0.85</v>
      </c>
      <c r="L433" t="s">
        <v>17</v>
      </c>
      <c r="M433" s="2">
        <v>45854.961284722223</v>
      </c>
      <c r="N433" s="3">
        <v>45854.961284722223</v>
      </c>
      <c r="O433" t="str">
        <f t="shared" si="56"/>
        <v>Jul</v>
      </c>
      <c r="P433" t="str">
        <f t="shared" si="57"/>
        <v>Wed</v>
      </c>
      <c r="Q433" t="str">
        <f t="shared" si="58"/>
        <v>Weekday</v>
      </c>
      <c r="R433">
        <f t="shared" si="59"/>
        <v>23</v>
      </c>
      <c r="S433" t="s">
        <v>529</v>
      </c>
    </row>
    <row r="434" spans="1:19" x14ac:dyDescent="0.25">
      <c r="A434">
        <v>3174</v>
      </c>
      <c r="B434" t="s">
        <v>27</v>
      </c>
      <c r="C434" t="s">
        <v>28</v>
      </c>
      <c r="D434" t="s">
        <v>14</v>
      </c>
      <c r="E434">
        <v>4</v>
      </c>
      <c r="F434" s="4">
        <v>19.48</v>
      </c>
      <c r="G434" s="4" t="str">
        <f t="shared" si="54"/>
        <v>Mid-Range</v>
      </c>
      <c r="H434" s="4">
        <f t="shared" si="60"/>
        <v>11.688000000000001</v>
      </c>
      <c r="I434">
        <f t="shared" si="55"/>
        <v>77.92</v>
      </c>
      <c r="J434" s="4">
        <f t="shared" si="61"/>
        <v>66.231999999999999</v>
      </c>
      <c r="K434" s="8">
        <f t="shared" si="62"/>
        <v>0.85</v>
      </c>
      <c r="L434" t="s">
        <v>11</v>
      </c>
      <c r="M434" s="2">
        <v>45856.041435185187</v>
      </c>
      <c r="N434" s="3">
        <v>45856.041435185187</v>
      </c>
      <c r="O434" t="str">
        <f t="shared" si="56"/>
        <v>Jul</v>
      </c>
      <c r="P434" t="str">
        <f t="shared" si="57"/>
        <v>Fri</v>
      </c>
      <c r="Q434" t="str">
        <f t="shared" si="58"/>
        <v>Weekend</v>
      </c>
      <c r="R434">
        <f t="shared" si="59"/>
        <v>0</v>
      </c>
      <c r="S434" t="s">
        <v>527</v>
      </c>
    </row>
    <row r="435" spans="1:19" x14ac:dyDescent="0.25">
      <c r="A435">
        <v>3775</v>
      </c>
      <c r="B435" t="s">
        <v>487</v>
      </c>
      <c r="C435" t="s">
        <v>30</v>
      </c>
      <c r="D435" t="s">
        <v>10</v>
      </c>
      <c r="E435">
        <v>5</v>
      </c>
      <c r="F435" s="4">
        <v>14.54</v>
      </c>
      <c r="G435" s="4" t="str">
        <f t="shared" si="54"/>
        <v>Mid-Range</v>
      </c>
      <c r="H435" s="4">
        <f t="shared" si="60"/>
        <v>8.7239999999999984</v>
      </c>
      <c r="I435">
        <f t="shared" si="55"/>
        <v>72.699999999999989</v>
      </c>
      <c r="J435" s="4">
        <f t="shared" si="61"/>
        <v>63.975999999999992</v>
      </c>
      <c r="K435" s="8">
        <f t="shared" si="62"/>
        <v>0.88</v>
      </c>
      <c r="L435" t="s">
        <v>15</v>
      </c>
      <c r="M435" s="2">
        <v>45856.518136574072</v>
      </c>
      <c r="N435" s="3">
        <v>45856.518136574072</v>
      </c>
      <c r="O435" t="str">
        <f t="shared" si="56"/>
        <v>Jul</v>
      </c>
      <c r="P435" t="str">
        <f t="shared" si="57"/>
        <v>Fri</v>
      </c>
      <c r="Q435" t="str">
        <f t="shared" si="58"/>
        <v>Weekend</v>
      </c>
      <c r="R435">
        <f t="shared" si="59"/>
        <v>12</v>
      </c>
      <c r="S435" t="s">
        <v>528</v>
      </c>
    </row>
    <row r="436" spans="1:19" x14ac:dyDescent="0.25">
      <c r="A436">
        <v>2891</v>
      </c>
      <c r="B436" t="s">
        <v>231</v>
      </c>
      <c r="C436" t="s">
        <v>35</v>
      </c>
      <c r="D436" t="s">
        <v>22</v>
      </c>
      <c r="E436">
        <v>1</v>
      </c>
      <c r="F436" s="4">
        <v>19.41</v>
      </c>
      <c r="G436" s="4" t="str">
        <f t="shared" si="54"/>
        <v>Mid-Range</v>
      </c>
      <c r="H436" s="4">
        <f t="shared" si="60"/>
        <v>11.645999999999999</v>
      </c>
      <c r="I436">
        <f t="shared" si="55"/>
        <v>19.41</v>
      </c>
      <c r="J436" s="4">
        <f t="shared" si="61"/>
        <v>7.7640000000000011</v>
      </c>
      <c r="K436" s="8">
        <f t="shared" si="62"/>
        <v>0.40000000000000008</v>
      </c>
      <c r="L436" t="s">
        <v>15</v>
      </c>
      <c r="M436" s="2">
        <v>45856.535196759258</v>
      </c>
      <c r="N436" s="3">
        <v>45856.535196759258</v>
      </c>
      <c r="O436" t="str">
        <f t="shared" si="56"/>
        <v>Jul</v>
      </c>
      <c r="P436" t="str">
        <f t="shared" si="57"/>
        <v>Fri</v>
      </c>
      <c r="Q436" t="str">
        <f t="shared" si="58"/>
        <v>Weekend</v>
      </c>
      <c r="R436">
        <f t="shared" si="59"/>
        <v>12</v>
      </c>
      <c r="S436" t="s">
        <v>528</v>
      </c>
    </row>
    <row r="437" spans="1:19" x14ac:dyDescent="0.25">
      <c r="A437">
        <v>3339</v>
      </c>
      <c r="B437" t="s">
        <v>309</v>
      </c>
      <c r="C437" t="s">
        <v>9</v>
      </c>
      <c r="D437" t="s">
        <v>10</v>
      </c>
      <c r="E437">
        <v>3</v>
      </c>
      <c r="F437" s="4">
        <v>20.010000000000002</v>
      </c>
      <c r="G437" s="4" t="str">
        <f t="shared" si="54"/>
        <v>Premium</v>
      </c>
      <c r="H437" s="4">
        <f t="shared" si="60"/>
        <v>12.006</v>
      </c>
      <c r="I437">
        <f t="shared" si="55"/>
        <v>60.03</v>
      </c>
      <c r="J437" s="4">
        <f t="shared" si="61"/>
        <v>48.024000000000001</v>
      </c>
      <c r="K437" s="8">
        <f t="shared" si="62"/>
        <v>0.8</v>
      </c>
      <c r="L437" t="s">
        <v>19</v>
      </c>
      <c r="M437" s="2">
        <v>45856.783043981479</v>
      </c>
      <c r="N437" s="3">
        <v>45856.783043981479</v>
      </c>
      <c r="O437" t="str">
        <f t="shared" si="56"/>
        <v>Jul</v>
      </c>
      <c r="P437" t="str">
        <f t="shared" si="57"/>
        <v>Fri</v>
      </c>
      <c r="Q437" t="str">
        <f t="shared" si="58"/>
        <v>Weekend</v>
      </c>
      <c r="R437">
        <f t="shared" si="59"/>
        <v>18</v>
      </c>
      <c r="S437" t="s">
        <v>529</v>
      </c>
    </row>
    <row r="438" spans="1:19" x14ac:dyDescent="0.25">
      <c r="A438">
        <v>3953</v>
      </c>
      <c r="B438" t="s">
        <v>156</v>
      </c>
      <c r="C438" t="s">
        <v>40</v>
      </c>
      <c r="D438" t="s">
        <v>22</v>
      </c>
      <c r="E438">
        <v>4</v>
      </c>
      <c r="F438" s="4">
        <v>13.31</v>
      </c>
      <c r="G438" s="4" t="str">
        <f t="shared" si="54"/>
        <v>Mid-Range</v>
      </c>
      <c r="H438" s="4">
        <f t="shared" si="60"/>
        <v>7.9859999999999998</v>
      </c>
      <c r="I438">
        <f t="shared" si="55"/>
        <v>53.24</v>
      </c>
      <c r="J438" s="4">
        <f t="shared" si="61"/>
        <v>45.254000000000005</v>
      </c>
      <c r="K438" s="8">
        <f t="shared" si="62"/>
        <v>0.85000000000000009</v>
      </c>
      <c r="L438" t="s">
        <v>15</v>
      </c>
      <c r="M438" s="2">
        <v>45857.077939814815</v>
      </c>
      <c r="N438" s="3">
        <v>45857.077939814815</v>
      </c>
      <c r="O438" t="str">
        <f t="shared" si="56"/>
        <v>Jul</v>
      </c>
      <c r="P438" t="str">
        <f t="shared" si="57"/>
        <v>Sat</v>
      </c>
      <c r="Q438" t="str">
        <f t="shared" si="58"/>
        <v>Weekend</v>
      </c>
      <c r="R438">
        <f t="shared" si="59"/>
        <v>1</v>
      </c>
      <c r="S438" t="s">
        <v>527</v>
      </c>
    </row>
    <row r="439" spans="1:19" x14ac:dyDescent="0.25">
      <c r="A439">
        <v>6151</v>
      </c>
      <c r="B439" t="s">
        <v>507</v>
      </c>
      <c r="C439" t="s">
        <v>33</v>
      </c>
      <c r="D439" t="s">
        <v>14</v>
      </c>
      <c r="E439">
        <v>2</v>
      </c>
      <c r="F439" s="4">
        <v>13.64</v>
      </c>
      <c r="G439" s="4" t="str">
        <f t="shared" si="54"/>
        <v>Mid-Range</v>
      </c>
      <c r="H439" s="4">
        <f t="shared" si="60"/>
        <v>8.1839999999999993</v>
      </c>
      <c r="I439">
        <f t="shared" si="55"/>
        <v>27.28</v>
      </c>
      <c r="J439" s="4">
        <f t="shared" si="61"/>
        <v>19.096000000000004</v>
      </c>
      <c r="K439" s="8">
        <f t="shared" si="62"/>
        <v>0.70000000000000007</v>
      </c>
      <c r="L439" t="s">
        <v>19</v>
      </c>
      <c r="M439" s="2">
        <v>45857.128449074073</v>
      </c>
      <c r="N439" s="3">
        <v>45857.128449074073</v>
      </c>
      <c r="O439" t="str">
        <f t="shared" si="56"/>
        <v>Jul</v>
      </c>
      <c r="P439" t="str">
        <f t="shared" si="57"/>
        <v>Sat</v>
      </c>
      <c r="Q439" t="str">
        <f t="shared" si="58"/>
        <v>Weekend</v>
      </c>
      <c r="R439">
        <f t="shared" si="59"/>
        <v>3</v>
      </c>
      <c r="S439" t="s">
        <v>527</v>
      </c>
    </row>
    <row r="440" spans="1:19" x14ac:dyDescent="0.25">
      <c r="A440">
        <v>2740</v>
      </c>
      <c r="B440" t="s">
        <v>348</v>
      </c>
      <c r="C440" t="s">
        <v>21</v>
      </c>
      <c r="D440" t="s">
        <v>22</v>
      </c>
      <c r="E440">
        <v>4</v>
      </c>
      <c r="F440" s="4">
        <v>20.47</v>
      </c>
      <c r="G440" s="4" t="str">
        <f t="shared" si="54"/>
        <v>Premium</v>
      </c>
      <c r="H440" s="4">
        <f t="shared" si="60"/>
        <v>12.281999999999998</v>
      </c>
      <c r="I440">
        <f t="shared" si="55"/>
        <v>81.88</v>
      </c>
      <c r="J440" s="4">
        <f t="shared" si="61"/>
        <v>69.597999999999999</v>
      </c>
      <c r="K440" s="8">
        <f t="shared" si="62"/>
        <v>0.85000000000000009</v>
      </c>
      <c r="L440" t="s">
        <v>19</v>
      </c>
      <c r="M440" s="2">
        <v>45858.098611111112</v>
      </c>
      <c r="N440" s="3">
        <v>45858.098611111112</v>
      </c>
      <c r="O440" t="str">
        <f t="shared" si="56"/>
        <v>Jul</v>
      </c>
      <c r="P440" t="str">
        <f t="shared" si="57"/>
        <v>Sun</v>
      </c>
      <c r="Q440" t="str">
        <f t="shared" si="58"/>
        <v>Weekday</v>
      </c>
      <c r="R440">
        <f t="shared" si="59"/>
        <v>2</v>
      </c>
      <c r="S440" t="s">
        <v>527</v>
      </c>
    </row>
    <row r="441" spans="1:19" x14ac:dyDescent="0.25">
      <c r="A441">
        <v>6802</v>
      </c>
      <c r="B441" t="s">
        <v>155</v>
      </c>
      <c r="C441" t="s">
        <v>40</v>
      </c>
      <c r="D441" t="s">
        <v>22</v>
      </c>
      <c r="E441">
        <v>2</v>
      </c>
      <c r="F441" s="4">
        <v>8.41</v>
      </c>
      <c r="G441" s="4" t="str">
        <f t="shared" si="54"/>
        <v>Budget</v>
      </c>
      <c r="H441" s="4">
        <f t="shared" si="60"/>
        <v>5.0460000000000003</v>
      </c>
      <c r="I441">
        <f t="shared" si="55"/>
        <v>16.82</v>
      </c>
      <c r="J441" s="4">
        <f t="shared" si="61"/>
        <v>11.774000000000001</v>
      </c>
      <c r="K441" s="8">
        <f t="shared" si="62"/>
        <v>0.70000000000000007</v>
      </c>
      <c r="L441" t="s">
        <v>17</v>
      </c>
      <c r="M441" s="2">
        <v>45859.030138888891</v>
      </c>
      <c r="N441" s="3">
        <v>45859.030138888891</v>
      </c>
      <c r="O441" t="str">
        <f t="shared" si="56"/>
        <v>Jul</v>
      </c>
      <c r="P441" t="str">
        <f t="shared" si="57"/>
        <v>Mon</v>
      </c>
      <c r="Q441" t="str">
        <f t="shared" si="58"/>
        <v>Weekday</v>
      </c>
      <c r="R441">
        <f t="shared" si="59"/>
        <v>0</v>
      </c>
      <c r="S441" t="s">
        <v>527</v>
      </c>
    </row>
    <row r="442" spans="1:19" x14ac:dyDescent="0.25">
      <c r="A442">
        <v>4700</v>
      </c>
      <c r="B442" t="s">
        <v>464</v>
      </c>
      <c r="C442" t="s">
        <v>37</v>
      </c>
      <c r="D442" t="s">
        <v>10</v>
      </c>
      <c r="E442">
        <v>4</v>
      </c>
      <c r="F442" s="4">
        <v>18.38</v>
      </c>
      <c r="G442" s="4" t="str">
        <f t="shared" si="54"/>
        <v>Mid-Range</v>
      </c>
      <c r="H442" s="4">
        <f t="shared" si="60"/>
        <v>11.027999999999999</v>
      </c>
      <c r="I442">
        <f t="shared" si="55"/>
        <v>73.52</v>
      </c>
      <c r="J442" s="4">
        <f t="shared" si="61"/>
        <v>62.491999999999997</v>
      </c>
      <c r="K442" s="8">
        <f t="shared" si="62"/>
        <v>0.85</v>
      </c>
      <c r="L442" t="s">
        <v>19</v>
      </c>
      <c r="M442" s="2">
        <v>45859.920613425929</v>
      </c>
      <c r="N442" s="3">
        <v>45859.920613425929</v>
      </c>
      <c r="O442" t="str">
        <f t="shared" si="56"/>
        <v>Jul</v>
      </c>
      <c r="P442" t="str">
        <f t="shared" si="57"/>
        <v>Mon</v>
      </c>
      <c r="Q442" t="str">
        <f t="shared" si="58"/>
        <v>Weekday</v>
      </c>
      <c r="R442">
        <f t="shared" si="59"/>
        <v>22</v>
      </c>
      <c r="S442" t="s">
        <v>529</v>
      </c>
    </row>
    <row r="443" spans="1:19" x14ac:dyDescent="0.25">
      <c r="A443">
        <v>8008</v>
      </c>
      <c r="B443" t="s">
        <v>451</v>
      </c>
      <c r="C443" t="s">
        <v>37</v>
      </c>
      <c r="D443" t="s">
        <v>10</v>
      </c>
      <c r="E443">
        <v>1</v>
      </c>
      <c r="F443" s="4">
        <v>10.08</v>
      </c>
      <c r="G443" s="4" t="str">
        <f t="shared" si="54"/>
        <v>Mid-Range</v>
      </c>
      <c r="H443" s="4">
        <f t="shared" si="60"/>
        <v>6.048</v>
      </c>
      <c r="I443">
        <f t="shared" si="55"/>
        <v>10.08</v>
      </c>
      <c r="J443" s="4">
        <f t="shared" si="61"/>
        <v>4.032</v>
      </c>
      <c r="K443" s="8">
        <f t="shared" si="62"/>
        <v>0.4</v>
      </c>
      <c r="L443" t="s">
        <v>19</v>
      </c>
      <c r="M443" s="2">
        <v>45860.267453703702</v>
      </c>
      <c r="N443" s="3">
        <v>45860.267453703702</v>
      </c>
      <c r="O443" t="str">
        <f t="shared" si="56"/>
        <v>Jul</v>
      </c>
      <c r="P443" t="str">
        <f t="shared" si="57"/>
        <v>Tue</v>
      </c>
      <c r="Q443" t="str">
        <f t="shared" si="58"/>
        <v>Weekday</v>
      </c>
      <c r="R443">
        <f t="shared" si="59"/>
        <v>6</v>
      </c>
      <c r="S443" t="s">
        <v>527</v>
      </c>
    </row>
    <row r="444" spans="1:19" x14ac:dyDescent="0.25">
      <c r="A444">
        <v>6981</v>
      </c>
      <c r="B444" t="s">
        <v>199</v>
      </c>
      <c r="C444" t="s">
        <v>21</v>
      </c>
      <c r="D444" t="s">
        <v>22</v>
      </c>
      <c r="E444">
        <v>3</v>
      </c>
      <c r="F444" s="4">
        <v>8.73</v>
      </c>
      <c r="G444" s="4" t="str">
        <f t="shared" si="54"/>
        <v>Budget</v>
      </c>
      <c r="H444" s="4">
        <f t="shared" si="60"/>
        <v>5.2380000000000004</v>
      </c>
      <c r="I444">
        <f t="shared" si="55"/>
        <v>26.19</v>
      </c>
      <c r="J444" s="4">
        <f t="shared" si="61"/>
        <v>20.952000000000002</v>
      </c>
      <c r="K444" s="8">
        <f t="shared" si="62"/>
        <v>0.8</v>
      </c>
      <c r="L444" t="s">
        <v>15</v>
      </c>
      <c r="M444" s="2">
        <v>45860.724374999998</v>
      </c>
      <c r="N444" s="3">
        <v>45860.724374999998</v>
      </c>
      <c r="O444" t="str">
        <f t="shared" si="56"/>
        <v>Jul</v>
      </c>
      <c r="P444" t="str">
        <f t="shared" si="57"/>
        <v>Tue</v>
      </c>
      <c r="Q444" t="str">
        <f t="shared" si="58"/>
        <v>Weekday</v>
      </c>
      <c r="R444">
        <f t="shared" si="59"/>
        <v>17</v>
      </c>
      <c r="S444" t="s">
        <v>528</v>
      </c>
    </row>
    <row r="445" spans="1:19" x14ac:dyDescent="0.25">
      <c r="A445">
        <v>7976</v>
      </c>
      <c r="B445" t="s">
        <v>280</v>
      </c>
      <c r="C445" t="s">
        <v>37</v>
      </c>
      <c r="D445" t="s">
        <v>10</v>
      </c>
      <c r="E445">
        <v>4</v>
      </c>
      <c r="F445" s="4">
        <v>4.07</v>
      </c>
      <c r="G445" s="4" t="str">
        <f t="shared" si="54"/>
        <v>Budget</v>
      </c>
      <c r="H445" s="4">
        <f t="shared" si="60"/>
        <v>2.4420000000000002</v>
      </c>
      <c r="I445">
        <f t="shared" si="55"/>
        <v>16.28</v>
      </c>
      <c r="J445" s="4">
        <f t="shared" si="61"/>
        <v>13.838000000000001</v>
      </c>
      <c r="K445" s="8">
        <f t="shared" si="62"/>
        <v>0.85</v>
      </c>
      <c r="L445" t="s">
        <v>19</v>
      </c>
      <c r="M445" s="2">
        <v>45860.739618055559</v>
      </c>
      <c r="N445" s="3">
        <v>45860.739618055559</v>
      </c>
      <c r="O445" t="str">
        <f t="shared" si="56"/>
        <v>Jul</v>
      </c>
      <c r="P445" t="str">
        <f t="shared" si="57"/>
        <v>Tue</v>
      </c>
      <c r="Q445" t="str">
        <f t="shared" si="58"/>
        <v>Weekday</v>
      </c>
      <c r="R445">
        <f t="shared" si="59"/>
        <v>17</v>
      </c>
      <c r="S445" t="s">
        <v>528</v>
      </c>
    </row>
    <row r="446" spans="1:19" x14ac:dyDescent="0.25">
      <c r="A446">
        <v>7876</v>
      </c>
      <c r="B446" t="s">
        <v>519</v>
      </c>
      <c r="C446" t="s">
        <v>21</v>
      </c>
      <c r="D446" t="s">
        <v>22</v>
      </c>
      <c r="E446">
        <v>5</v>
      </c>
      <c r="F446" s="4">
        <v>20.54</v>
      </c>
      <c r="G446" s="4" t="str">
        <f t="shared" si="54"/>
        <v>Premium</v>
      </c>
      <c r="H446" s="4">
        <f t="shared" si="60"/>
        <v>12.324</v>
      </c>
      <c r="I446">
        <f t="shared" si="55"/>
        <v>102.69999999999999</v>
      </c>
      <c r="J446" s="4">
        <f t="shared" si="61"/>
        <v>90.375999999999991</v>
      </c>
      <c r="K446" s="8">
        <f t="shared" si="62"/>
        <v>0.88</v>
      </c>
      <c r="L446" t="s">
        <v>17</v>
      </c>
      <c r="M446" s="2">
        <v>45861.34034722222</v>
      </c>
      <c r="N446" s="3">
        <v>45861.34034722222</v>
      </c>
      <c r="O446" t="str">
        <f t="shared" si="56"/>
        <v>Jul</v>
      </c>
      <c r="P446" t="str">
        <f t="shared" si="57"/>
        <v>Wed</v>
      </c>
      <c r="Q446" t="str">
        <f t="shared" si="58"/>
        <v>Weekday</v>
      </c>
      <c r="R446">
        <f t="shared" si="59"/>
        <v>8</v>
      </c>
      <c r="S446" t="s">
        <v>527</v>
      </c>
    </row>
    <row r="447" spans="1:19" x14ac:dyDescent="0.25">
      <c r="A447">
        <v>5358</v>
      </c>
      <c r="B447" t="s">
        <v>180</v>
      </c>
      <c r="C447" t="s">
        <v>21</v>
      </c>
      <c r="D447" t="s">
        <v>22</v>
      </c>
      <c r="E447">
        <v>4</v>
      </c>
      <c r="F447" s="4">
        <v>5.53</v>
      </c>
      <c r="G447" s="4" t="str">
        <f t="shared" si="54"/>
        <v>Budget</v>
      </c>
      <c r="H447" s="4">
        <f t="shared" si="60"/>
        <v>3.3180000000000001</v>
      </c>
      <c r="I447">
        <f t="shared" si="55"/>
        <v>22.12</v>
      </c>
      <c r="J447" s="4">
        <f t="shared" si="61"/>
        <v>18.802</v>
      </c>
      <c r="K447" s="8">
        <f t="shared" si="62"/>
        <v>0.85</v>
      </c>
      <c r="L447" t="s">
        <v>19</v>
      </c>
      <c r="M447" s="2">
        <v>45861.524583333332</v>
      </c>
      <c r="N447" s="3">
        <v>45861.524583333332</v>
      </c>
      <c r="O447" t="str">
        <f t="shared" si="56"/>
        <v>Jul</v>
      </c>
      <c r="P447" t="str">
        <f t="shared" si="57"/>
        <v>Wed</v>
      </c>
      <c r="Q447" t="str">
        <f t="shared" si="58"/>
        <v>Weekday</v>
      </c>
      <c r="R447">
        <f t="shared" si="59"/>
        <v>12</v>
      </c>
      <c r="S447" t="s">
        <v>528</v>
      </c>
    </row>
    <row r="448" spans="1:19" x14ac:dyDescent="0.25">
      <c r="A448">
        <v>9823</v>
      </c>
      <c r="B448" t="s">
        <v>194</v>
      </c>
      <c r="C448" t="s">
        <v>40</v>
      </c>
      <c r="D448" t="s">
        <v>22</v>
      </c>
      <c r="E448">
        <v>2</v>
      </c>
      <c r="F448" s="4">
        <v>5.34</v>
      </c>
      <c r="G448" s="4" t="str">
        <f t="shared" si="54"/>
        <v>Budget</v>
      </c>
      <c r="H448" s="4">
        <f t="shared" si="60"/>
        <v>3.2039999999999997</v>
      </c>
      <c r="I448">
        <f t="shared" si="55"/>
        <v>10.68</v>
      </c>
      <c r="J448" s="4">
        <f t="shared" si="61"/>
        <v>7.476</v>
      </c>
      <c r="K448" s="8">
        <f t="shared" si="62"/>
        <v>0.70000000000000007</v>
      </c>
      <c r="L448" t="s">
        <v>11</v>
      </c>
      <c r="M448" s="2">
        <v>45861.868009259262</v>
      </c>
      <c r="N448" s="3">
        <v>45861.868009259262</v>
      </c>
      <c r="O448" t="str">
        <f t="shared" si="56"/>
        <v>Jul</v>
      </c>
      <c r="P448" t="str">
        <f t="shared" si="57"/>
        <v>Wed</v>
      </c>
      <c r="Q448" t="str">
        <f t="shared" si="58"/>
        <v>Weekday</v>
      </c>
      <c r="R448">
        <f t="shared" si="59"/>
        <v>20</v>
      </c>
      <c r="S448" t="s">
        <v>529</v>
      </c>
    </row>
    <row r="449" spans="1:19" x14ac:dyDescent="0.25">
      <c r="A449">
        <v>9674</v>
      </c>
      <c r="B449" t="s">
        <v>301</v>
      </c>
      <c r="C449" t="s">
        <v>37</v>
      </c>
      <c r="D449" t="s">
        <v>10</v>
      </c>
      <c r="E449">
        <v>4</v>
      </c>
      <c r="F449" s="4">
        <v>23.01</v>
      </c>
      <c r="G449" s="4" t="str">
        <f t="shared" si="54"/>
        <v>Premium</v>
      </c>
      <c r="H449" s="4">
        <f t="shared" si="60"/>
        <v>13.806000000000001</v>
      </c>
      <c r="I449">
        <f t="shared" si="55"/>
        <v>92.04</v>
      </c>
      <c r="J449" s="4">
        <f t="shared" si="61"/>
        <v>78.234000000000009</v>
      </c>
      <c r="K449" s="8">
        <f t="shared" si="62"/>
        <v>0.85000000000000009</v>
      </c>
      <c r="L449" t="s">
        <v>17</v>
      </c>
      <c r="M449" s="2">
        <v>45862.2184375</v>
      </c>
      <c r="N449" s="3">
        <v>45862.2184375</v>
      </c>
      <c r="O449" t="str">
        <f t="shared" si="56"/>
        <v>Jul</v>
      </c>
      <c r="P449" t="str">
        <f t="shared" si="57"/>
        <v>Thu</v>
      </c>
      <c r="Q449" t="str">
        <f t="shared" si="58"/>
        <v>Weekday</v>
      </c>
      <c r="R449">
        <f t="shared" si="59"/>
        <v>5</v>
      </c>
      <c r="S449" t="s">
        <v>527</v>
      </c>
    </row>
    <row r="450" spans="1:19" x14ac:dyDescent="0.25">
      <c r="A450">
        <v>3640</v>
      </c>
      <c r="B450" t="s">
        <v>433</v>
      </c>
      <c r="C450" t="s">
        <v>9</v>
      </c>
      <c r="D450" t="s">
        <v>10</v>
      </c>
      <c r="E450">
        <v>5</v>
      </c>
      <c r="F450" s="4">
        <v>14.17</v>
      </c>
      <c r="G450" s="4" t="str">
        <f t="shared" ref="G450:G501" si="63">IF(F450&lt;10,"Budget",IF(F450&lt;20,"Mid-Range","Premium"))</f>
        <v>Mid-Range</v>
      </c>
      <c r="H450" s="4">
        <f t="shared" si="60"/>
        <v>8.5019999999999989</v>
      </c>
      <c r="I450">
        <f t="shared" ref="I450:I501" si="64">E450 * F450</f>
        <v>70.849999999999994</v>
      </c>
      <c r="J450" s="4">
        <f t="shared" si="61"/>
        <v>62.347999999999999</v>
      </c>
      <c r="K450" s="8">
        <f t="shared" si="62"/>
        <v>0.88</v>
      </c>
      <c r="L450" t="s">
        <v>19</v>
      </c>
      <c r="M450" s="2">
        <v>45862.706689814811</v>
      </c>
      <c r="N450" s="3">
        <v>45862.706689814811</v>
      </c>
      <c r="O450" t="str">
        <f t="shared" ref="O450:O501" si="65">TEXT(N450,"MMM")</f>
        <v>Jul</v>
      </c>
      <c r="P450" t="str">
        <f t="shared" ref="P450:P501" si="66">TEXT(M450, "DDD")</f>
        <v>Thu</v>
      </c>
      <c r="Q450" t="str">
        <f t="shared" ref="Q450:Q501" si="67">IF(OR(P450="Fri",P450="Sat"),"Weekend","Weekday")</f>
        <v>Weekday</v>
      </c>
      <c r="R450">
        <f t="shared" ref="R450:R501" si="68">HOUR(N450)</f>
        <v>16</v>
      </c>
      <c r="S450" t="s">
        <v>528</v>
      </c>
    </row>
    <row r="451" spans="1:19" x14ac:dyDescent="0.25">
      <c r="A451">
        <v>7019</v>
      </c>
      <c r="B451" t="s">
        <v>358</v>
      </c>
      <c r="C451" t="s">
        <v>30</v>
      </c>
      <c r="D451" t="s">
        <v>10</v>
      </c>
      <c r="E451">
        <v>4</v>
      </c>
      <c r="F451" s="4">
        <v>21.44</v>
      </c>
      <c r="G451" s="4" t="str">
        <f t="shared" si="63"/>
        <v>Premium</v>
      </c>
      <c r="H451" s="4">
        <f t="shared" ref="H451:H501" si="69">60% * F451</f>
        <v>12.864000000000001</v>
      </c>
      <c r="I451">
        <f t="shared" si="64"/>
        <v>85.76</v>
      </c>
      <c r="J451" s="4">
        <f t="shared" ref="J451:J501" si="70">I451 - H451</f>
        <v>72.896000000000001</v>
      </c>
      <c r="K451" s="8">
        <f t="shared" ref="K451:K501" si="71">J451 / I451</f>
        <v>0.85</v>
      </c>
      <c r="L451" t="s">
        <v>15</v>
      </c>
      <c r="M451" s="2">
        <v>45863.947060185186</v>
      </c>
      <c r="N451" s="3">
        <v>45863.947060185186</v>
      </c>
      <c r="O451" t="str">
        <f t="shared" si="65"/>
        <v>Jul</v>
      </c>
      <c r="P451" t="str">
        <f t="shared" si="66"/>
        <v>Fri</v>
      </c>
      <c r="Q451" t="str">
        <f t="shared" si="67"/>
        <v>Weekend</v>
      </c>
      <c r="R451">
        <f t="shared" si="68"/>
        <v>22</v>
      </c>
      <c r="S451" t="s">
        <v>529</v>
      </c>
    </row>
    <row r="452" spans="1:19" x14ac:dyDescent="0.25">
      <c r="A452">
        <v>7756</v>
      </c>
      <c r="B452" t="s">
        <v>41</v>
      </c>
      <c r="C452" t="s">
        <v>13</v>
      </c>
      <c r="D452" t="s">
        <v>14</v>
      </c>
      <c r="E452">
        <v>1</v>
      </c>
      <c r="F452" s="4">
        <v>21.83</v>
      </c>
      <c r="G452" s="4" t="str">
        <f t="shared" si="63"/>
        <v>Premium</v>
      </c>
      <c r="H452" s="4">
        <f t="shared" si="69"/>
        <v>13.097999999999999</v>
      </c>
      <c r="I452">
        <f t="shared" si="64"/>
        <v>21.83</v>
      </c>
      <c r="J452" s="4">
        <f t="shared" si="70"/>
        <v>8.7319999999999993</v>
      </c>
      <c r="K452" s="8">
        <f t="shared" si="71"/>
        <v>0.4</v>
      </c>
      <c r="L452" t="s">
        <v>17</v>
      </c>
      <c r="M452" s="2">
        <v>45864.348622685182</v>
      </c>
      <c r="N452" s="3">
        <v>45864.348622685182</v>
      </c>
      <c r="O452" t="str">
        <f t="shared" si="65"/>
        <v>Jul</v>
      </c>
      <c r="P452" t="str">
        <f t="shared" si="66"/>
        <v>Sat</v>
      </c>
      <c r="Q452" t="str">
        <f t="shared" si="67"/>
        <v>Weekend</v>
      </c>
      <c r="R452">
        <f t="shared" si="68"/>
        <v>8</v>
      </c>
      <c r="S452" t="s">
        <v>527</v>
      </c>
    </row>
    <row r="453" spans="1:19" x14ac:dyDescent="0.25">
      <c r="A453">
        <v>9305</v>
      </c>
      <c r="B453" t="s">
        <v>339</v>
      </c>
      <c r="C453" t="s">
        <v>28</v>
      </c>
      <c r="D453" t="s">
        <v>14</v>
      </c>
      <c r="E453">
        <v>1</v>
      </c>
      <c r="F453" s="4">
        <v>5.14</v>
      </c>
      <c r="G453" s="4" t="str">
        <f t="shared" si="63"/>
        <v>Budget</v>
      </c>
      <c r="H453" s="4">
        <f t="shared" si="69"/>
        <v>3.0839999999999996</v>
      </c>
      <c r="I453">
        <f t="shared" si="64"/>
        <v>5.14</v>
      </c>
      <c r="J453" s="4">
        <f t="shared" si="70"/>
        <v>2.056</v>
      </c>
      <c r="K453" s="8">
        <f t="shared" si="71"/>
        <v>0.4</v>
      </c>
      <c r="L453" t="s">
        <v>17</v>
      </c>
      <c r="M453" s="2">
        <v>45865.147129629629</v>
      </c>
      <c r="N453" s="3">
        <v>45865.147129629629</v>
      </c>
      <c r="O453" t="str">
        <f t="shared" si="65"/>
        <v>Jul</v>
      </c>
      <c r="P453" t="str">
        <f t="shared" si="66"/>
        <v>Sun</v>
      </c>
      <c r="Q453" t="str">
        <f t="shared" si="67"/>
        <v>Weekday</v>
      </c>
      <c r="R453">
        <f t="shared" si="68"/>
        <v>3</v>
      </c>
      <c r="S453" t="s">
        <v>527</v>
      </c>
    </row>
    <row r="454" spans="1:19" x14ac:dyDescent="0.25">
      <c r="A454">
        <v>8321</v>
      </c>
      <c r="B454" t="s">
        <v>82</v>
      </c>
      <c r="C454" t="s">
        <v>35</v>
      </c>
      <c r="D454" t="s">
        <v>22</v>
      </c>
      <c r="E454">
        <v>1</v>
      </c>
      <c r="F454" s="4">
        <v>19.75</v>
      </c>
      <c r="G454" s="4" t="str">
        <f t="shared" si="63"/>
        <v>Mid-Range</v>
      </c>
      <c r="H454" s="4">
        <f t="shared" si="69"/>
        <v>11.85</v>
      </c>
      <c r="I454">
        <f t="shared" si="64"/>
        <v>19.75</v>
      </c>
      <c r="J454" s="4">
        <f t="shared" si="70"/>
        <v>7.9</v>
      </c>
      <c r="K454" s="8">
        <f t="shared" si="71"/>
        <v>0.4</v>
      </c>
      <c r="L454" t="s">
        <v>11</v>
      </c>
      <c r="M454" s="2">
        <v>45865.21</v>
      </c>
      <c r="N454" s="3">
        <v>45865.21</v>
      </c>
      <c r="O454" t="str">
        <f t="shared" si="65"/>
        <v>Jul</v>
      </c>
      <c r="P454" t="str">
        <f t="shared" si="66"/>
        <v>Sun</v>
      </c>
      <c r="Q454" t="str">
        <f t="shared" si="67"/>
        <v>Weekday</v>
      </c>
      <c r="R454">
        <f t="shared" si="68"/>
        <v>5</v>
      </c>
      <c r="S454" t="s">
        <v>527</v>
      </c>
    </row>
    <row r="455" spans="1:19" x14ac:dyDescent="0.25">
      <c r="A455">
        <v>5758</v>
      </c>
      <c r="B455" t="s">
        <v>113</v>
      </c>
      <c r="C455" t="s">
        <v>40</v>
      </c>
      <c r="D455" t="s">
        <v>22</v>
      </c>
      <c r="E455">
        <v>1</v>
      </c>
      <c r="F455" s="4">
        <v>15.57</v>
      </c>
      <c r="G455" s="4" t="str">
        <f t="shared" si="63"/>
        <v>Mid-Range</v>
      </c>
      <c r="H455" s="4">
        <f t="shared" si="69"/>
        <v>9.3420000000000005</v>
      </c>
      <c r="I455">
        <f t="shared" si="64"/>
        <v>15.57</v>
      </c>
      <c r="J455" s="4">
        <f t="shared" si="70"/>
        <v>6.2279999999999998</v>
      </c>
      <c r="K455" s="8">
        <f t="shared" si="71"/>
        <v>0.39999999999999997</v>
      </c>
      <c r="L455" t="s">
        <v>11</v>
      </c>
      <c r="M455" s="2">
        <v>45865.256099537037</v>
      </c>
      <c r="N455" s="3">
        <v>45865.256099537037</v>
      </c>
      <c r="O455" t="str">
        <f t="shared" si="65"/>
        <v>Jul</v>
      </c>
      <c r="P455" t="str">
        <f t="shared" si="66"/>
        <v>Sun</v>
      </c>
      <c r="Q455" t="str">
        <f t="shared" si="67"/>
        <v>Weekday</v>
      </c>
      <c r="R455">
        <f t="shared" si="68"/>
        <v>6</v>
      </c>
      <c r="S455" t="s">
        <v>527</v>
      </c>
    </row>
    <row r="456" spans="1:19" x14ac:dyDescent="0.25">
      <c r="A456">
        <v>5252</v>
      </c>
      <c r="B456" t="s">
        <v>428</v>
      </c>
      <c r="C456" t="s">
        <v>35</v>
      </c>
      <c r="D456" t="s">
        <v>22</v>
      </c>
      <c r="E456">
        <v>2</v>
      </c>
      <c r="F456" s="4">
        <v>24.51</v>
      </c>
      <c r="G456" s="4" t="str">
        <f t="shared" si="63"/>
        <v>Premium</v>
      </c>
      <c r="H456" s="4">
        <f t="shared" si="69"/>
        <v>14.706</v>
      </c>
      <c r="I456">
        <f t="shared" si="64"/>
        <v>49.02</v>
      </c>
      <c r="J456" s="4">
        <f t="shared" si="70"/>
        <v>34.314000000000007</v>
      </c>
      <c r="K456" s="8">
        <f t="shared" si="71"/>
        <v>0.70000000000000007</v>
      </c>
      <c r="L456" t="s">
        <v>11</v>
      </c>
      <c r="M456" s="2">
        <v>45865.463101851848</v>
      </c>
      <c r="N456" s="3">
        <v>45865.463101851848</v>
      </c>
      <c r="O456" t="str">
        <f t="shared" si="65"/>
        <v>Jul</v>
      </c>
      <c r="P456" t="str">
        <f t="shared" si="66"/>
        <v>Sun</v>
      </c>
      <c r="Q456" t="str">
        <f t="shared" si="67"/>
        <v>Weekday</v>
      </c>
      <c r="R456">
        <f t="shared" si="68"/>
        <v>11</v>
      </c>
      <c r="S456" t="s">
        <v>527</v>
      </c>
    </row>
    <row r="457" spans="1:19" x14ac:dyDescent="0.25">
      <c r="A457">
        <v>2838</v>
      </c>
      <c r="B457" t="s">
        <v>101</v>
      </c>
      <c r="C457" t="s">
        <v>37</v>
      </c>
      <c r="D457" t="s">
        <v>10</v>
      </c>
      <c r="E457">
        <v>4</v>
      </c>
      <c r="F457" s="4">
        <v>17.14</v>
      </c>
      <c r="G457" s="4" t="str">
        <f t="shared" si="63"/>
        <v>Mid-Range</v>
      </c>
      <c r="H457" s="4">
        <f t="shared" si="69"/>
        <v>10.284000000000001</v>
      </c>
      <c r="I457">
        <f t="shared" si="64"/>
        <v>68.56</v>
      </c>
      <c r="J457" s="4">
        <f t="shared" si="70"/>
        <v>58.276000000000003</v>
      </c>
      <c r="K457" s="8">
        <f t="shared" si="71"/>
        <v>0.85</v>
      </c>
      <c r="L457" t="s">
        <v>15</v>
      </c>
      <c r="M457" s="2">
        <v>45865.604305555556</v>
      </c>
      <c r="N457" s="3">
        <v>45865.604305555556</v>
      </c>
      <c r="O457" t="str">
        <f t="shared" si="65"/>
        <v>Jul</v>
      </c>
      <c r="P457" t="str">
        <f t="shared" si="66"/>
        <v>Sun</v>
      </c>
      <c r="Q457" t="str">
        <f t="shared" si="67"/>
        <v>Weekday</v>
      </c>
      <c r="R457">
        <f t="shared" si="68"/>
        <v>14</v>
      </c>
      <c r="S457" t="s">
        <v>528</v>
      </c>
    </row>
    <row r="458" spans="1:19" x14ac:dyDescent="0.25">
      <c r="A458">
        <v>4961</v>
      </c>
      <c r="B458" t="s">
        <v>313</v>
      </c>
      <c r="C458" t="s">
        <v>37</v>
      </c>
      <c r="D458" t="s">
        <v>10</v>
      </c>
      <c r="E458">
        <v>5</v>
      </c>
      <c r="F458" s="4">
        <v>17</v>
      </c>
      <c r="G458" s="4" t="str">
        <f t="shared" si="63"/>
        <v>Mid-Range</v>
      </c>
      <c r="H458" s="4">
        <f t="shared" si="69"/>
        <v>10.199999999999999</v>
      </c>
      <c r="I458">
        <f t="shared" si="64"/>
        <v>85</v>
      </c>
      <c r="J458" s="4">
        <f t="shared" si="70"/>
        <v>74.8</v>
      </c>
      <c r="K458" s="8">
        <f t="shared" si="71"/>
        <v>0.88</v>
      </c>
      <c r="L458" t="s">
        <v>15</v>
      </c>
      <c r="M458" s="2">
        <v>45865.831458333334</v>
      </c>
      <c r="N458" s="3">
        <v>45865.831458333334</v>
      </c>
      <c r="O458" t="str">
        <f t="shared" si="65"/>
        <v>Jul</v>
      </c>
      <c r="P458" t="str">
        <f t="shared" si="66"/>
        <v>Sun</v>
      </c>
      <c r="Q458" t="str">
        <f t="shared" si="67"/>
        <v>Weekday</v>
      </c>
      <c r="R458">
        <f t="shared" si="68"/>
        <v>19</v>
      </c>
      <c r="S458" t="s">
        <v>529</v>
      </c>
    </row>
    <row r="459" spans="1:19" x14ac:dyDescent="0.25">
      <c r="A459">
        <v>1812</v>
      </c>
      <c r="B459" t="s">
        <v>380</v>
      </c>
      <c r="C459" t="s">
        <v>30</v>
      </c>
      <c r="D459" t="s">
        <v>10</v>
      </c>
      <c r="E459">
        <v>4</v>
      </c>
      <c r="F459" s="4">
        <v>22.68</v>
      </c>
      <c r="G459" s="4" t="str">
        <f t="shared" si="63"/>
        <v>Premium</v>
      </c>
      <c r="H459" s="4">
        <f t="shared" si="69"/>
        <v>13.607999999999999</v>
      </c>
      <c r="I459">
        <f t="shared" si="64"/>
        <v>90.72</v>
      </c>
      <c r="J459" s="4">
        <f t="shared" si="70"/>
        <v>77.111999999999995</v>
      </c>
      <c r="K459" s="8">
        <f t="shared" si="71"/>
        <v>0.85</v>
      </c>
      <c r="L459" t="s">
        <v>11</v>
      </c>
      <c r="M459" s="2">
        <v>45865.875104166669</v>
      </c>
      <c r="N459" s="3">
        <v>45865.875104166669</v>
      </c>
      <c r="O459" t="str">
        <f t="shared" si="65"/>
        <v>Jul</v>
      </c>
      <c r="P459" t="str">
        <f t="shared" si="66"/>
        <v>Sun</v>
      </c>
      <c r="Q459" t="str">
        <f t="shared" si="67"/>
        <v>Weekday</v>
      </c>
      <c r="R459">
        <f t="shared" si="68"/>
        <v>21</v>
      </c>
      <c r="S459" t="s">
        <v>529</v>
      </c>
    </row>
    <row r="460" spans="1:19" x14ac:dyDescent="0.25">
      <c r="A460">
        <v>9101</v>
      </c>
      <c r="B460" t="s">
        <v>421</v>
      </c>
      <c r="C460" t="s">
        <v>30</v>
      </c>
      <c r="D460" t="s">
        <v>10</v>
      </c>
      <c r="E460">
        <v>3</v>
      </c>
      <c r="F460" s="4">
        <v>4.78</v>
      </c>
      <c r="G460" s="4" t="str">
        <f t="shared" si="63"/>
        <v>Budget</v>
      </c>
      <c r="H460" s="4">
        <f t="shared" si="69"/>
        <v>2.8679999999999999</v>
      </c>
      <c r="I460">
        <f t="shared" si="64"/>
        <v>14.34</v>
      </c>
      <c r="J460" s="4">
        <f t="shared" si="70"/>
        <v>11.472</v>
      </c>
      <c r="K460" s="8">
        <f t="shared" si="71"/>
        <v>0.79999999999999993</v>
      </c>
      <c r="L460" t="s">
        <v>19</v>
      </c>
      <c r="M460" s="2">
        <v>45866.023055555554</v>
      </c>
      <c r="N460" s="3">
        <v>45866.023055555554</v>
      </c>
      <c r="O460" t="str">
        <f t="shared" si="65"/>
        <v>Jul</v>
      </c>
      <c r="P460" t="str">
        <f t="shared" si="66"/>
        <v>Mon</v>
      </c>
      <c r="Q460" t="str">
        <f t="shared" si="67"/>
        <v>Weekday</v>
      </c>
      <c r="R460">
        <f t="shared" si="68"/>
        <v>0</v>
      </c>
      <c r="S460" t="s">
        <v>527</v>
      </c>
    </row>
    <row r="461" spans="1:19" x14ac:dyDescent="0.25">
      <c r="A461">
        <v>6266</v>
      </c>
      <c r="B461" t="s">
        <v>224</v>
      </c>
      <c r="C461" t="s">
        <v>13</v>
      </c>
      <c r="D461" t="s">
        <v>14</v>
      </c>
      <c r="E461">
        <v>2</v>
      </c>
      <c r="F461" s="4">
        <v>18.78</v>
      </c>
      <c r="G461" s="4" t="str">
        <f t="shared" si="63"/>
        <v>Mid-Range</v>
      </c>
      <c r="H461" s="4">
        <f t="shared" si="69"/>
        <v>11.268000000000001</v>
      </c>
      <c r="I461">
        <f t="shared" si="64"/>
        <v>37.56</v>
      </c>
      <c r="J461" s="4">
        <f t="shared" si="70"/>
        <v>26.292000000000002</v>
      </c>
      <c r="K461" s="8">
        <f t="shared" si="71"/>
        <v>0.7</v>
      </c>
      <c r="L461" t="s">
        <v>17</v>
      </c>
      <c r="M461" s="2">
        <v>45866.107488425929</v>
      </c>
      <c r="N461" s="3">
        <v>45866.107488425929</v>
      </c>
      <c r="O461" t="str">
        <f t="shared" si="65"/>
        <v>Jul</v>
      </c>
      <c r="P461" t="str">
        <f t="shared" si="66"/>
        <v>Mon</v>
      </c>
      <c r="Q461" t="str">
        <f t="shared" si="67"/>
        <v>Weekday</v>
      </c>
      <c r="R461">
        <f t="shared" si="68"/>
        <v>2</v>
      </c>
      <c r="S461" t="s">
        <v>527</v>
      </c>
    </row>
    <row r="462" spans="1:19" x14ac:dyDescent="0.25">
      <c r="A462">
        <v>9175</v>
      </c>
      <c r="B462" t="s">
        <v>401</v>
      </c>
      <c r="C462" t="s">
        <v>28</v>
      </c>
      <c r="D462" t="s">
        <v>14</v>
      </c>
      <c r="E462">
        <v>4</v>
      </c>
      <c r="F462" s="4">
        <v>16.02</v>
      </c>
      <c r="G462" s="4" t="str">
        <f t="shared" si="63"/>
        <v>Mid-Range</v>
      </c>
      <c r="H462" s="4">
        <f t="shared" si="69"/>
        <v>9.6120000000000001</v>
      </c>
      <c r="I462">
        <f t="shared" si="64"/>
        <v>64.08</v>
      </c>
      <c r="J462" s="4">
        <f t="shared" si="70"/>
        <v>54.467999999999996</v>
      </c>
      <c r="K462" s="8">
        <f t="shared" si="71"/>
        <v>0.85</v>
      </c>
      <c r="L462" t="s">
        <v>17</v>
      </c>
      <c r="M462" s="2">
        <v>45866.271597222221</v>
      </c>
      <c r="N462" s="3">
        <v>45866.271597222221</v>
      </c>
      <c r="O462" t="str">
        <f t="shared" si="65"/>
        <v>Jul</v>
      </c>
      <c r="P462" t="str">
        <f t="shared" si="66"/>
        <v>Mon</v>
      </c>
      <c r="Q462" t="str">
        <f t="shared" si="67"/>
        <v>Weekday</v>
      </c>
      <c r="R462">
        <f t="shared" si="68"/>
        <v>6</v>
      </c>
      <c r="S462" t="s">
        <v>527</v>
      </c>
    </row>
    <row r="463" spans="1:19" x14ac:dyDescent="0.25">
      <c r="A463">
        <v>2754</v>
      </c>
      <c r="B463" t="s">
        <v>250</v>
      </c>
      <c r="C463" t="s">
        <v>28</v>
      </c>
      <c r="D463" t="s">
        <v>14</v>
      </c>
      <c r="E463">
        <v>3</v>
      </c>
      <c r="F463" s="4">
        <v>6.01</v>
      </c>
      <c r="G463" s="4" t="str">
        <f t="shared" si="63"/>
        <v>Budget</v>
      </c>
      <c r="H463" s="4">
        <f t="shared" si="69"/>
        <v>3.6059999999999999</v>
      </c>
      <c r="I463">
        <f t="shared" si="64"/>
        <v>18.03</v>
      </c>
      <c r="J463" s="4">
        <f t="shared" si="70"/>
        <v>14.424000000000001</v>
      </c>
      <c r="K463" s="8">
        <f t="shared" si="71"/>
        <v>0.8</v>
      </c>
      <c r="L463" t="s">
        <v>11</v>
      </c>
      <c r="M463" s="2">
        <v>45866.841967592591</v>
      </c>
      <c r="N463" s="3">
        <v>45866.841967592591</v>
      </c>
      <c r="O463" t="str">
        <f t="shared" si="65"/>
        <v>Jul</v>
      </c>
      <c r="P463" t="str">
        <f t="shared" si="66"/>
        <v>Mon</v>
      </c>
      <c r="Q463" t="str">
        <f t="shared" si="67"/>
        <v>Weekday</v>
      </c>
      <c r="R463">
        <f t="shared" si="68"/>
        <v>20</v>
      </c>
      <c r="S463" t="s">
        <v>529</v>
      </c>
    </row>
    <row r="464" spans="1:19" x14ac:dyDescent="0.25">
      <c r="A464">
        <v>5550</v>
      </c>
      <c r="B464" t="s">
        <v>186</v>
      </c>
      <c r="C464" t="s">
        <v>37</v>
      </c>
      <c r="D464" t="s">
        <v>10</v>
      </c>
      <c r="E464">
        <v>3</v>
      </c>
      <c r="F464" s="4">
        <v>24.52</v>
      </c>
      <c r="G464" s="4" t="str">
        <f t="shared" si="63"/>
        <v>Premium</v>
      </c>
      <c r="H464" s="4">
        <f t="shared" si="69"/>
        <v>14.712</v>
      </c>
      <c r="I464">
        <f t="shared" si="64"/>
        <v>73.56</v>
      </c>
      <c r="J464" s="4">
        <f t="shared" si="70"/>
        <v>58.847999999999999</v>
      </c>
      <c r="K464" s="8">
        <f t="shared" si="71"/>
        <v>0.79999999999999993</v>
      </c>
      <c r="L464" t="s">
        <v>15</v>
      </c>
      <c r="M464" s="2">
        <v>45866.893854166665</v>
      </c>
      <c r="N464" s="3">
        <v>45866.893854166665</v>
      </c>
      <c r="O464" t="str">
        <f t="shared" si="65"/>
        <v>Jul</v>
      </c>
      <c r="P464" t="str">
        <f t="shared" si="66"/>
        <v>Mon</v>
      </c>
      <c r="Q464" t="str">
        <f t="shared" si="67"/>
        <v>Weekday</v>
      </c>
      <c r="R464">
        <f t="shared" si="68"/>
        <v>21</v>
      </c>
      <c r="S464" t="s">
        <v>529</v>
      </c>
    </row>
    <row r="465" spans="1:19" x14ac:dyDescent="0.25">
      <c r="A465">
        <v>8382</v>
      </c>
      <c r="B465" t="s">
        <v>163</v>
      </c>
      <c r="C465" t="s">
        <v>37</v>
      </c>
      <c r="D465" t="s">
        <v>10</v>
      </c>
      <c r="E465">
        <v>3</v>
      </c>
      <c r="F465" s="4">
        <v>6.65</v>
      </c>
      <c r="G465" s="4" t="str">
        <f t="shared" si="63"/>
        <v>Budget</v>
      </c>
      <c r="H465" s="4">
        <f t="shared" si="69"/>
        <v>3.99</v>
      </c>
      <c r="I465">
        <f t="shared" si="64"/>
        <v>19.950000000000003</v>
      </c>
      <c r="J465" s="4">
        <f t="shared" si="70"/>
        <v>15.960000000000003</v>
      </c>
      <c r="K465" s="8">
        <f t="shared" si="71"/>
        <v>0.8</v>
      </c>
      <c r="L465" t="s">
        <v>17</v>
      </c>
      <c r="M465" s="2">
        <v>45867.294849537036</v>
      </c>
      <c r="N465" s="3">
        <v>45867.294849537036</v>
      </c>
      <c r="O465" t="str">
        <f t="shared" si="65"/>
        <v>Jul</v>
      </c>
      <c r="P465" t="str">
        <f t="shared" si="66"/>
        <v>Tue</v>
      </c>
      <c r="Q465" t="str">
        <f t="shared" si="67"/>
        <v>Weekday</v>
      </c>
      <c r="R465">
        <f t="shared" si="68"/>
        <v>7</v>
      </c>
      <c r="S465" t="s">
        <v>527</v>
      </c>
    </row>
    <row r="466" spans="1:19" x14ac:dyDescent="0.25">
      <c r="A466">
        <v>2933</v>
      </c>
      <c r="B466" t="s">
        <v>44</v>
      </c>
      <c r="C466" t="s">
        <v>35</v>
      </c>
      <c r="D466" t="s">
        <v>22</v>
      </c>
      <c r="E466">
        <v>3</v>
      </c>
      <c r="F466" s="4">
        <v>20.78</v>
      </c>
      <c r="G466" s="4" t="str">
        <f t="shared" si="63"/>
        <v>Premium</v>
      </c>
      <c r="H466" s="4">
        <f t="shared" si="69"/>
        <v>12.468</v>
      </c>
      <c r="I466">
        <f t="shared" si="64"/>
        <v>62.34</v>
      </c>
      <c r="J466" s="4">
        <f t="shared" si="70"/>
        <v>49.872</v>
      </c>
      <c r="K466" s="8">
        <f t="shared" si="71"/>
        <v>0.79999999999999993</v>
      </c>
      <c r="L466" t="s">
        <v>17</v>
      </c>
      <c r="M466" s="2">
        <v>45868.161909722221</v>
      </c>
      <c r="N466" s="3">
        <v>45868.161909722221</v>
      </c>
      <c r="O466" t="str">
        <f t="shared" si="65"/>
        <v>Jul</v>
      </c>
      <c r="P466" t="str">
        <f t="shared" si="66"/>
        <v>Wed</v>
      </c>
      <c r="Q466" t="str">
        <f t="shared" si="67"/>
        <v>Weekday</v>
      </c>
      <c r="R466">
        <f t="shared" si="68"/>
        <v>3</v>
      </c>
      <c r="S466" t="s">
        <v>527</v>
      </c>
    </row>
    <row r="467" spans="1:19" x14ac:dyDescent="0.25">
      <c r="A467">
        <v>5098</v>
      </c>
      <c r="B467" t="s">
        <v>422</v>
      </c>
      <c r="C467" t="s">
        <v>9</v>
      </c>
      <c r="D467" t="s">
        <v>10</v>
      </c>
      <c r="E467">
        <v>5</v>
      </c>
      <c r="F467" s="4">
        <v>10.46</v>
      </c>
      <c r="G467" s="4" t="str">
        <f t="shared" si="63"/>
        <v>Mid-Range</v>
      </c>
      <c r="H467" s="4">
        <f t="shared" si="69"/>
        <v>6.2760000000000007</v>
      </c>
      <c r="I467">
        <f t="shared" si="64"/>
        <v>52.300000000000004</v>
      </c>
      <c r="J467" s="4">
        <f t="shared" si="70"/>
        <v>46.024000000000001</v>
      </c>
      <c r="K467" s="8">
        <f t="shared" si="71"/>
        <v>0.87999999999999989</v>
      </c>
      <c r="L467" t="s">
        <v>15</v>
      </c>
      <c r="M467" s="2">
        <v>45868.481562499997</v>
      </c>
      <c r="N467" s="3">
        <v>45868.481562499997</v>
      </c>
      <c r="O467" t="str">
        <f t="shared" si="65"/>
        <v>Jul</v>
      </c>
      <c r="P467" t="str">
        <f t="shared" si="66"/>
        <v>Wed</v>
      </c>
      <c r="Q467" t="str">
        <f t="shared" si="67"/>
        <v>Weekday</v>
      </c>
      <c r="R467">
        <f t="shared" si="68"/>
        <v>11</v>
      </c>
      <c r="S467" t="s">
        <v>527</v>
      </c>
    </row>
    <row r="468" spans="1:19" x14ac:dyDescent="0.25">
      <c r="A468">
        <v>2354</v>
      </c>
      <c r="B468" t="s">
        <v>252</v>
      </c>
      <c r="C468" t="s">
        <v>35</v>
      </c>
      <c r="D468" t="s">
        <v>22</v>
      </c>
      <c r="E468">
        <v>2</v>
      </c>
      <c r="F468" s="4">
        <v>22.82</v>
      </c>
      <c r="G468" s="4" t="str">
        <f t="shared" si="63"/>
        <v>Premium</v>
      </c>
      <c r="H468" s="4">
        <f t="shared" si="69"/>
        <v>13.692</v>
      </c>
      <c r="I468">
        <f t="shared" si="64"/>
        <v>45.64</v>
      </c>
      <c r="J468" s="4">
        <f t="shared" si="70"/>
        <v>31.948</v>
      </c>
      <c r="K468" s="8">
        <f t="shared" si="71"/>
        <v>0.7</v>
      </c>
      <c r="L468" t="s">
        <v>11</v>
      </c>
      <c r="M468" s="2">
        <v>45868.671354166669</v>
      </c>
      <c r="N468" s="3">
        <v>45868.671354166669</v>
      </c>
      <c r="O468" t="str">
        <f t="shared" si="65"/>
        <v>Jul</v>
      </c>
      <c r="P468" t="str">
        <f t="shared" si="66"/>
        <v>Wed</v>
      </c>
      <c r="Q468" t="str">
        <f t="shared" si="67"/>
        <v>Weekday</v>
      </c>
      <c r="R468">
        <f t="shared" si="68"/>
        <v>16</v>
      </c>
      <c r="S468" t="s">
        <v>528</v>
      </c>
    </row>
    <row r="469" spans="1:19" x14ac:dyDescent="0.25">
      <c r="A469">
        <v>7215</v>
      </c>
      <c r="B469" t="s">
        <v>62</v>
      </c>
      <c r="C469" t="s">
        <v>21</v>
      </c>
      <c r="D469" t="s">
        <v>22</v>
      </c>
      <c r="E469">
        <v>1</v>
      </c>
      <c r="F469" s="4">
        <v>14.27</v>
      </c>
      <c r="G469" s="4" t="str">
        <f t="shared" si="63"/>
        <v>Mid-Range</v>
      </c>
      <c r="H469" s="4">
        <f t="shared" si="69"/>
        <v>8.5619999999999994</v>
      </c>
      <c r="I469">
        <f t="shared" si="64"/>
        <v>14.27</v>
      </c>
      <c r="J469" s="4">
        <f t="shared" si="70"/>
        <v>5.7080000000000002</v>
      </c>
      <c r="K469" s="8">
        <f t="shared" si="71"/>
        <v>0.4</v>
      </c>
      <c r="L469" t="s">
        <v>11</v>
      </c>
      <c r="M469" s="2">
        <v>45868.793726851851</v>
      </c>
      <c r="N469" s="3">
        <v>45868.793726851851</v>
      </c>
      <c r="O469" t="str">
        <f t="shared" si="65"/>
        <v>Jul</v>
      </c>
      <c r="P469" t="str">
        <f t="shared" si="66"/>
        <v>Wed</v>
      </c>
      <c r="Q469" t="str">
        <f t="shared" si="67"/>
        <v>Weekday</v>
      </c>
      <c r="R469">
        <f t="shared" si="68"/>
        <v>19</v>
      </c>
      <c r="S469" t="s">
        <v>529</v>
      </c>
    </row>
    <row r="470" spans="1:19" x14ac:dyDescent="0.25">
      <c r="A470">
        <v>8964</v>
      </c>
      <c r="B470" t="s">
        <v>387</v>
      </c>
      <c r="C470" t="s">
        <v>9</v>
      </c>
      <c r="D470" t="s">
        <v>10</v>
      </c>
      <c r="E470">
        <v>4</v>
      </c>
      <c r="F470" s="4">
        <v>3.5</v>
      </c>
      <c r="G470" s="4" t="str">
        <f t="shared" si="63"/>
        <v>Budget</v>
      </c>
      <c r="H470" s="4">
        <f t="shared" si="69"/>
        <v>2.1</v>
      </c>
      <c r="I470">
        <f t="shared" si="64"/>
        <v>14</v>
      </c>
      <c r="J470" s="4">
        <f t="shared" si="70"/>
        <v>11.9</v>
      </c>
      <c r="K470" s="8">
        <f t="shared" si="71"/>
        <v>0.85</v>
      </c>
      <c r="L470" t="s">
        <v>19</v>
      </c>
      <c r="M470" s="2">
        <v>45869.521134259259</v>
      </c>
      <c r="N470" s="3">
        <v>45869.521134259259</v>
      </c>
      <c r="O470" t="str">
        <f t="shared" si="65"/>
        <v>Jul</v>
      </c>
      <c r="P470" t="str">
        <f t="shared" si="66"/>
        <v>Thu</v>
      </c>
      <c r="Q470" t="str">
        <f t="shared" si="67"/>
        <v>Weekday</v>
      </c>
      <c r="R470">
        <f t="shared" si="68"/>
        <v>12</v>
      </c>
      <c r="S470" t="s">
        <v>528</v>
      </c>
    </row>
    <row r="471" spans="1:19" x14ac:dyDescent="0.25">
      <c r="A471">
        <v>9240</v>
      </c>
      <c r="B471" t="s">
        <v>145</v>
      </c>
      <c r="C471" t="s">
        <v>13</v>
      </c>
      <c r="D471" t="s">
        <v>14</v>
      </c>
      <c r="E471">
        <v>5</v>
      </c>
      <c r="F471" s="4">
        <v>7.57</v>
      </c>
      <c r="G471" s="4" t="str">
        <f t="shared" si="63"/>
        <v>Budget</v>
      </c>
      <c r="H471" s="4">
        <f t="shared" si="69"/>
        <v>4.5419999999999998</v>
      </c>
      <c r="I471">
        <f t="shared" si="64"/>
        <v>37.85</v>
      </c>
      <c r="J471" s="4">
        <f t="shared" si="70"/>
        <v>33.308</v>
      </c>
      <c r="K471" s="8">
        <f t="shared" si="71"/>
        <v>0.88</v>
      </c>
      <c r="L471" t="s">
        <v>15</v>
      </c>
      <c r="M471" s="2">
        <v>45870.370532407411</v>
      </c>
      <c r="N471" s="3">
        <v>45870.370532407411</v>
      </c>
      <c r="O471" t="str">
        <f t="shared" si="65"/>
        <v>Aug</v>
      </c>
      <c r="P471" t="str">
        <f t="shared" si="66"/>
        <v>Fri</v>
      </c>
      <c r="Q471" t="str">
        <f t="shared" si="67"/>
        <v>Weekend</v>
      </c>
      <c r="R471">
        <f t="shared" si="68"/>
        <v>8</v>
      </c>
      <c r="S471" t="s">
        <v>527</v>
      </c>
    </row>
    <row r="472" spans="1:19" x14ac:dyDescent="0.25">
      <c r="A472">
        <v>2234</v>
      </c>
      <c r="B472" t="s">
        <v>97</v>
      </c>
      <c r="C472" t="s">
        <v>13</v>
      </c>
      <c r="D472" t="s">
        <v>14</v>
      </c>
      <c r="E472">
        <v>3</v>
      </c>
      <c r="F472" s="4">
        <v>21.28</v>
      </c>
      <c r="G472" s="4" t="str">
        <f t="shared" si="63"/>
        <v>Premium</v>
      </c>
      <c r="H472" s="4">
        <f t="shared" si="69"/>
        <v>12.768000000000001</v>
      </c>
      <c r="I472">
        <f t="shared" si="64"/>
        <v>63.84</v>
      </c>
      <c r="J472" s="4">
        <f t="shared" si="70"/>
        <v>51.072000000000003</v>
      </c>
      <c r="K472" s="8">
        <f t="shared" si="71"/>
        <v>0.8</v>
      </c>
      <c r="L472" t="s">
        <v>15</v>
      </c>
      <c r="M472" s="2">
        <v>45870.697627314818</v>
      </c>
      <c r="N472" s="3">
        <v>45870.697627314818</v>
      </c>
      <c r="O472" t="str">
        <f t="shared" si="65"/>
        <v>Aug</v>
      </c>
      <c r="P472" t="str">
        <f t="shared" si="66"/>
        <v>Fri</v>
      </c>
      <c r="Q472" t="str">
        <f t="shared" si="67"/>
        <v>Weekend</v>
      </c>
      <c r="R472">
        <f t="shared" si="68"/>
        <v>16</v>
      </c>
      <c r="S472" t="s">
        <v>528</v>
      </c>
    </row>
    <row r="473" spans="1:19" x14ac:dyDescent="0.25">
      <c r="A473">
        <v>6309</v>
      </c>
      <c r="B473" t="s">
        <v>79</v>
      </c>
      <c r="C473" t="s">
        <v>40</v>
      </c>
      <c r="D473" t="s">
        <v>22</v>
      </c>
      <c r="E473">
        <v>5</v>
      </c>
      <c r="F473" s="4">
        <v>15.44</v>
      </c>
      <c r="G473" s="4" t="str">
        <f t="shared" si="63"/>
        <v>Mid-Range</v>
      </c>
      <c r="H473" s="4">
        <f t="shared" si="69"/>
        <v>9.2639999999999993</v>
      </c>
      <c r="I473">
        <f t="shared" si="64"/>
        <v>77.2</v>
      </c>
      <c r="J473" s="4">
        <f t="shared" si="70"/>
        <v>67.936000000000007</v>
      </c>
      <c r="K473" s="8">
        <f t="shared" si="71"/>
        <v>0.88</v>
      </c>
      <c r="L473" t="s">
        <v>19</v>
      </c>
      <c r="M473" s="2">
        <v>45870.726203703707</v>
      </c>
      <c r="N473" s="3">
        <v>45870.726203703707</v>
      </c>
      <c r="O473" t="str">
        <f t="shared" si="65"/>
        <v>Aug</v>
      </c>
      <c r="P473" t="str">
        <f t="shared" si="66"/>
        <v>Fri</v>
      </c>
      <c r="Q473" t="str">
        <f t="shared" si="67"/>
        <v>Weekend</v>
      </c>
      <c r="R473">
        <f t="shared" si="68"/>
        <v>17</v>
      </c>
      <c r="S473" t="s">
        <v>528</v>
      </c>
    </row>
    <row r="474" spans="1:19" x14ac:dyDescent="0.25">
      <c r="A474">
        <v>8430</v>
      </c>
      <c r="B474" t="s">
        <v>150</v>
      </c>
      <c r="C474" t="s">
        <v>33</v>
      </c>
      <c r="D474" t="s">
        <v>14</v>
      </c>
      <c r="E474">
        <v>1</v>
      </c>
      <c r="F474" s="4">
        <v>4.0999999999999996</v>
      </c>
      <c r="G474" s="4" t="str">
        <f t="shared" si="63"/>
        <v>Budget</v>
      </c>
      <c r="H474" s="4">
        <f t="shared" si="69"/>
        <v>2.4599999999999995</v>
      </c>
      <c r="I474">
        <f t="shared" si="64"/>
        <v>4.0999999999999996</v>
      </c>
      <c r="J474" s="4">
        <f t="shared" si="70"/>
        <v>1.6400000000000001</v>
      </c>
      <c r="K474" s="8">
        <f t="shared" si="71"/>
        <v>0.40000000000000008</v>
      </c>
      <c r="L474" t="s">
        <v>11</v>
      </c>
      <c r="M474" s="2">
        <v>45870.863703703704</v>
      </c>
      <c r="N474" s="3">
        <v>45870.863703703704</v>
      </c>
      <c r="O474" t="str">
        <f t="shared" si="65"/>
        <v>Aug</v>
      </c>
      <c r="P474" t="str">
        <f t="shared" si="66"/>
        <v>Fri</v>
      </c>
      <c r="Q474" t="str">
        <f t="shared" si="67"/>
        <v>Weekend</v>
      </c>
      <c r="R474">
        <f t="shared" si="68"/>
        <v>20</v>
      </c>
      <c r="S474" t="s">
        <v>529</v>
      </c>
    </row>
    <row r="475" spans="1:19" x14ac:dyDescent="0.25">
      <c r="A475">
        <v>6272</v>
      </c>
      <c r="B475" t="s">
        <v>408</v>
      </c>
      <c r="C475" t="s">
        <v>33</v>
      </c>
      <c r="D475" t="s">
        <v>14</v>
      </c>
      <c r="E475">
        <v>2</v>
      </c>
      <c r="F475" s="4">
        <v>3.8</v>
      </c>
      <c r="G475" s="4" t="str">
        <f t="shared" si="63"/>
        <v>Budget</v>
      </c>
      <c r="H475" s="4">
        <f t="shared" si="69"/>
        <v>2.2799999999999998</v>
      </c>
      <c r="I475">
        <f t="shared" si="64"/>
        <v>7.6</v>
      </c>
      <c r="J475" s="4">
        <f t="shared" si="70"/>
        <v>5.32</v>
      </c>
      <c r="K475" s="8">
        <f t="shared" si="71"/>
        <v>0.70000000000000007</v>
      </c>
      <c r="L475" t="s">
        <v>19</v>
      </c>
      <c r="M475" s="2">
        <v>45872.868703703702</v>
      </c>
      <c r="N475" s="3">
        <v>45872.868703703702</v>
      </c>
      <c r="O475" t="str">
        <f t="shared" si="65"/>
        <v>Aug</v>
      </c>
      <c r="P475" t="str">
        <f t="shared" si="66"/>
        <v>Sun</v>
      </c>
      <c r="Q475" t="str">
        <f t="shared" si="67"/>
        <v>Weekday</v>
      </c>
      <c r="R475">
        <f t="shared" si="68"/>
        <v>20</v>
      </c>
      <c r="S475" t="s">
        <v>529</v>
      </c>
    </row>
    <row r="476" spans="1:19" x14ac:dyDescent="0.25">
      <c r="A476">
        <v>1202</v>
      </c>
      <c r="B476" t="s">
        <v>518</v>
      </c>
      <c r="C476" t="s">
        <v>9</v>
      </c>
      <c r="D476" t="s">
        <v>10</v>
      </c>
      <c r="E476">
        <v>2</v>
      </c>
      <c r="F476" s="4">
        <v>8.5399999999999991</v>
      </c>
      <c r="G476" s="4" t="str">
        <f t="shared" si="63"/>
        <v>Budget</v>
      </c>
      <c r="H476" s="4">
        <f t="shared" si="69"/>
        <v>5.1239999999999997</v>
      </c>
      <c r="I476">
        <f t="shared" si="64"/>
        <v>17.079999999999998</v>
      </c>
      <c r="J476" s="4">
        <f t="shared" si="70"/>
        <v>11.956</v>
      </c>
      <c r="K476" s="8">
        <f t="shared" si="71"/>
        <v>0.70000000000000007</v>
      </c>
      <c r="L476" t="s">
        <v>17</v>
      </c>
      <c r="M476" s="2">
        <v>45872.991296296299</v>
      </c>
      <c r="N476" s="3">
        <v>45872.991296296299</v>
      </c>
      <c r="O476" t="str">
        <f t="shared" si="65"/>
        <v>Aug</v>
      </c>
      <c r="P476" t="str">
        <f t="shared" si="66"/>
        <v>Sun</v>
      </c>
      <c r="Q476" t="str">
        <f t="shared" si="67"/>
        <v>Weekday</v>
      </c>
      <c r="R476">
        <f t="shared" si="68"/>
        <v>23</v>
      </c>
      <c r="S476" t="s">
        <v>529</v>
      </c>
    </row>
    <row r="477" spans="1:19" x14ac:dyDescent="0.25">
      <c r="A477">
        <v>8279</v>
      </c>
      <c r="B477" t="s">
        <v>414</v>
      </c>
      <c r="C477" t="s">
        <v>30</v>
      </c>
      <c r="D477" t="s">
        <v>10</v>
      </c>
      <c r="E477">
        <v>2</v>
      </c>
      <c r="F477" s="4">
        <v>12.61</v>
      </c>
      <c r="G477" s="4" t="str">
        <f t="shared" si="63"/>
        <v>Mid-Range</v>
      </c>
      <c r="H477" s="4">
        <f t="shared" si="69"/>
        <v>7.5659999999999989</v>
      </c>
      <c r="I477">
        <f t="shared" si="64"/>
        <v>25.22</v>
      </c>
      <c r="J477" s="4">
        <f t="shared" si="70"/>
        <v>17.654</v>
      </c>
      <c r="K477" s="8">
        <f t="shared" si="71"/>
        <v>0.70000000000000007</v>
      </c>
      <c r="L477" t="s">
        <v>17</v>
      </c>
      <c r="M477" s="2">
        <v>45873.028715277775</v>
      </c>
      <c r="N477" s="3">
        <v>45873.028715277775</v>
      </c>
      <c r="O477" t="str">
        <f t="shared" si="65"/>
        <v>Aug</v>
      </c>
      <c r="P477" t="str">
        <f t="shared" si="66"/>
        <v>Mon</v>
      </c>
      <c r="Q477" t="str">
        <f t="shared" si="67"/>
        <v>Weekday</v>
      </c>
      <c r="R477">
        <f t="shared" si="68"/>
        <v>0</v>
      </c>
      <c r="S477" t="s">
        <v>527</v>
      </c>
    </row>
    <row r="478" spans="1:19" x14ac:dyDescent="0.25">
      <c r="A478">
        <v>6686</v>
      </c>
      <c r="B478" t="s">
        <v>499</v>
      </c>
      <c r="C478" t="s">
        <v>30</v>
      </c>
      <c r="D478" t="s">
        <v>10</v>
      </c>
      <c r="E478">
        <v>2</v>
      </c>
      <c r="F478" s="4">
        <v>6.44</v>
      </c>
      <c r="G478" s="4" t="str">
        <f t="shared" si="63"/>
        <v>Budget</v>
      </c>
      <c r="H478" s="4">
        <f t="shared" si="69"/>
        <v>3.8639999999999999</v>
      </c>
      <c r="I478">
        <f t="shared" si="64"/>
        <v>12.88</v>
      </c>
      <c r="J478" s="4">
        <f t="shared" si="70"/>
        <v>9.0160000000000018</v>
      </c>
      <c r="K478" s="8">
        <f t="shared" si="71"/>
        <v>0.70000000000000007</v>
      </c>
      <c r="L478" t="s">
        <v>15</v>
      </c>
      <c r="M478" s="2">
        <v>45873.305775462963</v>
      </c>
      <c r="N478" s="3">
        <v>45873.305775462963</v>
      </c>
      <c r="O478" t="str">
        <f t="shared" si="65"/>
        <v>Aug</v>
      </c>
      <c r="P478" t="str">
        <f t="shared" si="66"/>
        <v>Mon</v>
      </c>
      <c r="Q478" t="str">
        <f t="shared" si="67"/>
        <v>Weekday</v>
      </c>
      <c r="R478">
        <f t="shared" si="68"/>
        <v>7</v>
      </c>
      <c r="S478" t="s">
        <v>527</v>
      </c>
    </row>
    <row r="479" spans="1:19" x14ac:dyDescent="0.25">
      <c r="A479">
        <v>9125</v>
      </c>
      <c r="B479" t="s">
        <v>48</v>
      </c>
      <c r="C479" t="s">
        <v>35</v>
      </c>
      <c r="D479" t="s">
        <v>22</v>
      </c>
      <c r="E479">
        <v>3</v>
      </c>
      <c r="F479" s="4">
        <v>16.68</v>
      </c>
      <c r="G479" s="4" t="str">
        <f t="shared" si="63"/>
        <v>Mid-Range</v>
      </c>
      <c r="H479" s="4">
        <f t="shared" si="69"/>
        <v>10.007999999999999</v>
      </c>
      <c r="I479">
        <f t="shared" si="64"/>
        <v>50.04</v>
      </c>
      <c r="J479" s="4">
        <f t="shared" si="70"/>
        <v>40.031999999999996</v>
      </c>
      <c r="K479" s="8">
        <f t="shared" si="71"/>
        <v>0.79999999999999993</v>
      </c>
      <c r="L479" t="s">
        <v>19</v>
      </c>
      <c r="M479" s="2">
        <v>45873.547407407408</v>
      </c>
      <c r="N479" s="3">
        <v>45873.547407407408</v>
      </c>
      <c r="O479" t="str">
        <f t="shared" si="65"/>
        <v>Aug</v>
      </c>
      <c r="P479" t="str">
        <f t="shared" si="66"/>
        <v>Mon</v>
      </c>
      <c r="Q479" t="str">
        <f t="shared" si="67"/>
        <v>Weekday</v>
      </c>
      <c r="R479">
        <f t="shared" si="68"/>
        <v>13</v>
      </c>
      <c r="S479" t="s">
        <v>528</v>
      </c>
    </row>
    <row r="480" spans="1:19" x14ac:dyDescent="0.25">
      <c r="A480">
        <v>9211</v>
      </c>
      <c r="B480" t="s">
        <v>67</v>
      </c>
      <c r="C480" t="s">
        <v>37</v>
      </c>
      <c r="D480" t="s">
        <v>10</v>
      </c>
      <c r="E480">
        <v>5</v>
      </c>
      <c r="F480" s="4">
        <v>6.59</v>
      </c>
      <c r="G480" s="4" t="str">
        <f t="shared" si="63"/>
        <v>Budget</v>
      </c>
      <c r="H480" s="4">
        <f t="shared" si="69"/>
        <v>3.9539999999999997</v>
      </c>
      <c r="I480">
        <f t="shared" si="64"/>
        <v>32.950000000000003</v>
      </c>
      <c r="J480" s="4">
        <f t="shared" si="70"/>
        <v>28.996000000000002</v>
      </c>
      <c r="K480" s="8">
        <f t="shared" si="71"/>
        <v>0.88</v>
      </c>
      <c r="L480" t="s">
        <v>11</v>
      </c>
      <c r="M480" s="2">
        <v>45874.940069444441</v>
      </c>
      <c r="N480" s="3">
        <v>45874.940069444441</v>
      </c>
      <c r="O480" t="str">
        <f t="shared" si="65"/>
        <v>Aug</v>
      </c>
      <c r="P480" t="str">
        <f t="shared" si="66"/>
        <v>Tue</v>
      </c>
      <c r="Q480" t="str">
        <f t="shared" si="67"/>
        <v>Weekday</v>
      </c>
      <c r="R480">
        <f t="shared" si="68"/>
        <v>22</v>
      </c>
      <c r="S480" t="s">
        <v>529</v>
      </c>
    </row>
    <row r="481" spans="1:19" x14ac:dyDescent="0.25">
      <c r="A481">
        <v>4707</v>
      </c>
      <c r="B481" t="s">
        <v>50</v>
      </c>
      <c r="C481" t="s">
        <v>21</v>
      </c>
      <c r="D481" t="s">
        <v>22</v>
      </c>
      <c r="E481">
        <v>3</v>
      </c>
      <c r="F481" s="4">
        <v>24.45</v>
      </c>
      <c r="G481" s="4" t="str">
        <f t="shared" si="63"/>
        <v>Premium</v>
      </c>
      <c r="H481" s="4">
        <f t="shared" si="69"/>
        <v>14.669999999999998</v>
      </c>
      <c r="I481">
        <f t="shared" si="64"/>
        <v>73.349999999999994</v>
      </c>
      <c r="J481" s="4">
        <f t="shared" si="70"/>
        <v>58.679999999999993</v>
      </c>
      <c r="K481" s="8">
        <f t="shared" si="71"/>
        <v>0.79999999999999993</v>
      </c>
      <c r="L481" t="s">
        <v>11</v>
      </c>
      <c r="M481" s="2">
        <v>45875.582685185182</v>
      </c>
      <c r="N481" s="3">
        <v>45875.582685185182</v>
      </c>
      <c r="O481" t="str">
        <f t="shared" si="65"/>
        <v>Aug</v>
      </c>
      <c r="P481" t="str">
        <f t="shared" si="66"/>
        <v>Wed</v>
      </c>
      <c r="Q481" t="str">
        <f t="shared" si="67"/>
        <v>Weekday</v>
      </c>
      <c r="R481">
        <f t="shared" si="68"/>
        <v>13</v>
      </c>
      <c r="S481" t="s">
        <v>528</v>
      </c>
    </row>
    <row r="482" spans="1:19" x14ac:dyDescent="0.25">
      <c r="A482">
        <v>7659</v>
      </c>
      <c r="B482" t="s">
        <v>413</v>
      </c>
      <c r="C482" t="s">
        <v>9</v>
      </c>
      <c r="D482" t="s">
        <v>10</v>
      </c>
      <c r="E482">
        <v>1</v>
      </c>
      <c r="F482" s="4">
        <v>16.059999999999999</v>
      </c>
      <c r="G482" s="4" t="str">
        <f t="shared" si="63"/>
        <v>Mid-Range</v>
      </c>
      <c r="H482" s="4">
        <f t="shared" si="69"/>
        <v>9.6359999999999992</v>
      </c>
      <c r="I482">
        <f t="shared" si="64"/>
        <v>16.059999999999999</v>
      </c>
      <c r="J482" s="4">
        <f t="shared" si="70"/>
        <v>6.4239999999999995</v>
      </c>
      <c r="K482" s="8">
        <f t="shared" si="71"/>
        <v>0.4</v>
      </c>
      <c r="L482" t="s">
        <v>11</v>
      </c>
      <c r="M482" s="2">
        <v>45875.733032407406</v>
      </c>
      <c r="N482" s="3">
        <v>45875.733032407406</v>
      </c>
      <c r="O482" t="str">
        <f t="shared" si="65"/>
        <v>Aug</v>
      </c>
      <c r="P482" t="str">
        <f t="shared" si="66"/>
        <v>Wed</v>
      </c>
      <c r="Q482" t="str">
        <f t="shared" si="67"/>
        <v>Weekday</v>
      </c>
      <c r="R482">
        <f t="shared" si="68"/>
        <v>17</v>
      </c>
      <c r="S482" t="s">
        <v>528</v>
      </c>
    </row>
    <row r="483" spans="1:19" x14ac:dyDescent="0.25">
      <c r="A483">
        <v>8560</v>
      </c>
      <c r="B483" t="s">
        <v>437</v>
      </c>
      <c r="C483" t="s">
        <v>37</v>
      </c>
      <c r="D483" t="s">
        <v>10</v>
      </c>
      <c r="E483">
        <v>1</v>
      </c>
      <c r="F483" s="4">
        <v>20.260000000000002</v>
      </c>
      <c r="G483" s="4" t="str">
        <f t="shared" si="63"/>
        <v>Premium</v>
      </c>
      <c r="H483" s="4">
        <f t="shared" si="69"/>
        <v>12.156000000000001</v>
      </c>
      <c r="I483">
        <f t="shared" si="64"/>
        <v>20.260000000000002</v>
      </c>
      <c r="J483" s="4">
        <f t="shared" si="70"/>
        <v>8.104000000000001</v>
      </c>
      <c r="K483" s="8">
        <f t="shared" si="71"/>
        <v>0.4</v>
      </c>
      <c r="L483" t="s">
        <v>17</v>
      </c>
      <c r="M483" s="2">
        <v>45876.371562499997</v>
      </c>
      <c r="N483" s="3">
        <v>45876.371562499997</v>
      </c>
      <c r="O483" t="str">
        <f t="shared" si="65"/>
        <v>Aug</v>
      </c>
      <c r="P483" t="str">
        <f t="shared" si="66"/>
        <v>Thu</v>
      </c>
      <c r="Q483" t="str">
        <f t="shared" si="67"/>
        <v>Weekday</v>
      </c>
      <c r="R483">
        <f t="shared" si="68"/>
        <v>8</v>
      </c>
      <c r="S483" t="s">
        <v>527</v>
      </c>
    </row>
    <row r="484" spans="1:19" x14ac:dyDescent="0.25">
      <c r="A484">
        <v>2951</v>
      </c>
      <c r="B484" t="s">
        <v>72</v>
      </c>
      <c r="C484" t="s">
        <v>35</v>
      </c>
      <c r="D484" t="s">
        <v>22</v>
      </c>
      <c r="E484">
        <v>3</v>
      </c>
      <c r="F484" s="4">
        <v>22.14</v>
      </c>
      <c r="G484" s="4" t="str">
        <f t="shared" si="63"/>
        <v>Premium</v>
      </c>
      <c r="H484" s="4">
        <f t="shared" si="69"/>
        <v>13.284000000000001</v>
      </c>
      <c r="I484">
        <f t="shared" si="64"/>
        <v>66.42</v>
      </c>
      <c r="J484" s="4">
        <f t="shared" si="70"/>
        <v>53.136000000000003</v>
      </c>
      <c r="K484" s="8">
        <f t="shared" si="71"/>
        <v>0.8</v>
      </c>
      <c r="L484" t="s">
        <v>17</v>
      </c>
      <c r="M484" s="2">
        <v>45876.613715277781</v>
      </c>
      <c r="N484" s="3">
        <v>45876.613715277781</v>
      </c>
      <c r="O484" t="str">
        <f t="shared" si="65"/>
        <v>Aug</v>
      </c>
      <c r="P484" t="str">
        <f t="shared" si="66"/>
        <v>Thu</v>
      </c>
      <c r="Q484" t="str">
        <f t="shared" si="67"/>
        <v>Weekday</v>
      </c>
      <c r="R484">
        <f t="shared" si="68"/>
        <v>14</v>
      </c>
      <c r="S484" t="s">
        <v>528</v>
      </c>
    </row>
    <row r="485" spans="1:19" x14ac:dyDescent="0.25">
      <c r="A485">
        <v>1509</v>
      </c>
      <c r="B485" t="s">
        <v>520</v>
      </c>
      <c r="C485" t="s">
        <v>33</v>
      </c>
      <c r="D485" t="s">
        <v>14</v>
      </c>
      <c r="E485">
        <v>2</v>
      </c>
      <c r="F485" s="4">
        <v>18.86</v>
      </c>
      <c r="G485" s="4" t="str">
        <f t="shared" si="63"/>
        <v>Mid-Range</v>
      </c>
      <c r="H485" s="4">
        <f t="shared" si="69"/>
        <v>11.315999999999999</v>
      </c>
      <c r="I485">
        <f t="shared" si="64"/>
        <v>37.72</v>
      </c>
      <c r="J485" s="4">
        <f t="shared" si="70"/>
        <v>26.404</v>
      </c>
      <c r="K485" s="8">
        <f t="shared" si="71"/>
        <v>0.70000000000000007</v>
      </c>
      <c r="L485" t="s">
        <v>19</v>
      </c>
      <c r="M485" s="2">
        <v>45878.216284722221</v>
      </c>
      <c r="N485" s="3">
        <v>45878.216284722221</v>
      </c>
      <c r="O485" t="str">
        <f t="shared" si="65"/>
        <v>Aug</v>
      </c>
      <c r="P485" t="str">
        <f t="shared" si="66"/>
        <v>Sat</v>
      </c>
      <c r="Q485" t="str">
        <f t="shared" si="67"/>
        <v>Weekend</v>
      </c>
      <c r="R485">
        <f t="shared" si="68"/>
        <v>5</v>
      </c>
      <c r="S485" t="s">
        <v>527</v>
      </c>
    </row>
    <row r="486" spans="1:19" x14ac:dyDescent="0.25">
      <c r="A486">
        <v>1936</v>
      </c>
      <c r="B486" t="s">
        <v>400</v>
      </c>
      <c r="C486" t="s">
        <v>30</v>
      </c>
      <c r="D486" t="s">
        <v>10</v>
      </c>
      <c r="E486">
        <v>1</v>
      </c>
      <c r="F486" s="4">
        <v>7.43</v>
      </c>
      <c r="G486" s="4" t="str">
        <f t="shared" si="63"/>
        <v>Budget</v>
      </c>
      <c r="H486" s="4">
        <f t="shared" si="69"/>
        <v>4.4579999999999993</v>
      </c>
      <c r="I486">
        <f t="shared" si="64"/>
        <v>7.43</v>
      </c>
      <c r="J486" s="4">
        <f t="shared" si="70"/>
        <v>2.9720000000000004</v>
      </c>
      <c r="K486" s="8">
        <f t="shared" si="71"/>
        <v>0.40000000000000008</v>
      </c>
      <c r="L486" t="s">
        <v>17</v>
      </c>
      <c r="M486" s="2">
        <v>45879.005219907405</v>
      </c>
      <c r="N486" s="3">
        <v>45879.005219907405</v>
      </c>
      <c r="O486" t="str">
        <f t="shared" si="65"/>
        <v>Aug</v>
      </c>
      <c r="P486" t="str">
        <f t="shared" si="66"/>
        <v>Sun</v>
      </c>
      <c r="Q486" t="str">
        <f t="shared" si="67"/>
        <v>Weekday</v>
      </c>
      <c r="R486">
        <f t="shared" si="68"/>
        <v>0</v>
      </c>
      <c r="S486" t="s">
        <v>527</v>
      </c>
    </row>
    <row r="487" spans="1:19" x14ac:dyDescent="0.25">
      <c r="A487">
        <v>5940</v>
      </c>
      <c r="B487" t="s">
        <v>491</v>
      </c>
      <c r="C487" t="s">
        <v>37</v>
      </c>
      <c r="D487" t="s">
        <v>10</v>
      </c>
      <c r="E487">
        <v>1</v>
      </c>
      <c r="F487" s="4">
        <v>13.85</v>
      </c>
      <c r="G487" s="4" t="str">
        <f t="shared" si="63"/>
        <v>Mid-Range</v>
      </c>
      <c r="H487" s="4">
        <f t="shared" si="69"/>
        <v>8.3099999999999987</v>
      </c>
      <c r="I487">
        <f t="shared" si="64"/>
        <v>13.85</v>
      </c>
      <c r="J487" s="4">
        <f t="shared" si="70"/>
        <v>5.5400000000000009</v>
      </c>
      <c r="K487" s="8">
        <f t="shared" si="71"/>
        <v>0.40000000000000008</v>
      </c>
      <c r="L487" t="s">
        <v>19</v>
      </c>
      <c r="M487" s="2">
        <v>45879.094895833332</v>
      </c>
      <c r="N487" s="3">
        <v>45879.094895833332</v>
      </c>
      <c r="O487" t="str">
        <f t="shared" si="65"/>
        <v>Aug</v>
      </c>
      <c r="P487" t="str">
        <f t="shared" si="66"/>
        <v>Sun</v>
      </c>
      <c r="Q487" t="str">
        <f t="shared" si="67"/>
        <v>Weekday</v>
      </c>
      <c r="R487">
        <f t="shared" si="68"/>
        <v>2</v>
      </c>
      <c r="S487" t="s">
        <v>527</v>
      </c>
    </row>
    <row r="488" spans="1:19" x14ac:dyDescent="0.25">
      <c r="A488">
        <v>9922</v>
      </c>
      <c r="B488" t="s">
        <v>260</v>
      </c>
      <c r="C488" t="s">
        <v>9</v>
      </c>
      <c r="D488" t="s">
        <v>10</v>
      </c>
      <c r="E488">
        <v>5</v>
      </c>
      <c r="F488" s="4">
        <v>16.28</v>
      </c>
      <c r="G488" s="4" t="str">
        <f t="shared" si="63"/>
        <v>Mid-Range</v>
      </c>
      <c r="H488" s="4">
        <f t="shared" si="69"/>
        <v>9.7680000000000007</v>
      </c>
      <c r="I488">
        <f t="shared" si="64"/>
        <v>81.400000000000006</v>
      </c>
      <c r="J488" s="4">
        <f t="shared" si="70"/>
        <v>71.632000000000005</v>
      </c>
      <c r="K488" s="8">
        <f t="shared" si="71"/>
        <v>0.88</v>
      </c>
      <c r="L488" t="s">
        <v>17</v>
      </c>
      <c r="M488" s="2">
        <v>45879.427511574075</v>
      </c>
      <c r="N488" s="3">
        <v>45879.427511574075</v>
      </c>
      <c r="O488" t="str">
        <f t="shared" si="65"/>
        <v>Aug</v>
      </c>
      <c r="P488" t="str">
        <f t="shared" si="66"/>
        <v>Sun</v>
      </c>
      <c r="Q488" t="str">
        <f t="shared" si="67"/>
        <v>Weekday</v>
      </c>
      <c r="R488">
        <f t="shared" si="68"/>
        <v>10</v>
      </c>
      <c r="S488" t="s">
        <v>527</v>
      </c>
    </row>
    <row r="489" spans="1:19" x14ac:dyDescent="0.25">
      <c r="A489">
        <v>7532</v>
      </c>
      <c r="B489" t="s">
        <v>446</v>
      </c>
      <c r="C489" t="s">
        <v>13</v>
      </c>
      <c r="D489" t="s">
        <v>14</v>
      </c>
      <c r="E489">
        <v>4</v>
      </c>
      <c r="F489" s="4">
        <v>23.76</v>
      </c>
      <c r="G489" s="4" t="str">
        <f t="shared" si="63"/>
        <v>Premium</v>
      </c>
      <c r="H489" s="4">
        <f t="shared" si="69"/>
        <v>14.256</v>
      </c>
      <c r="I489">
        <f t="shared" si="64"/>
        <v>95.04</v>
      </c>
      <c r="J489" s="4">
        <f t="shared" si="70"/>
        <v>80.784000000000006</v>
      </c>
      <c r="K489" s="8">
        <f t="shared" si="71"/>
        <v>0.85</v>
      </c>
      <c r="L489" t="s">
        <v>19</v>
      </c>
      <c r="M489" s="2">
        <v>45879.814791666664</v>
      </c>
      <c r="N489" s="3">
        <v>45879.814791666664</v>
      </c>
      <c r="O489" t="str">
        <f t="shared" si="65"/>
        <v>Aug</v>
      </c>
      <c r="P489" t="str">
        <f t="shared" si="66"/>
        <v>Sun</v>
      </c>
      <c r="Q489" t="str">
        <f t="shared" si="67"/>
        <v>Weekday</v>
      </c>
      <c r="R489">
        <f t="shared" si="68"/>
        <v>19</v>
      </c>
      <c r="S489" t="s">
        <v>529</v>
      </c>
    </row>
    <row r="490" spans="1:19" x14ac:dyDescent="0.25">
      <c r="A490">
        <v>2966</v>
      </c>
      <c r="B490" t="s">
        <v>441</v>
      </c>
      <c r="C490" t="s">
        <v>33</v>
      </c>
      <c r="D490" t="s">
        <v>14</v>
      </c>
      <c r="E490">
        <v>2</v>
      </c>
      <c r="F490" s="4">
        <v>8.85</v>
      </c>
      <c r="G490" s="4" t="str">
        <f t="shared" si="63"/>
        <v>Budget</v>
      </c>
      <c r="H490" s="4">
        <f t="shared" si="69"/>
        <v>5.31</v>
      </c>
      <c r="I490">
        <f t="shared" si="64"/>
        <v>17.7</v>
      </c>
      <c r="J490" s="4">
        <f t="shared" si="70"/>
        <v>12.39</v>
      </c>
      <c r="K490" s="8">
        <f t="shared" si="71"/>
        <v>0.70000000000000007</v>
      </c>
      <c r="L490" t="s">
        <v>17</v>
      </c>
      <c r="M490" s="2">
        <v>45880.622118055559</v>
      </c>
      <c r="N490" s="3">
        <v>45880.622118055559</v>
      </c>
      <c r="O490" t="str">
        <f t="shared" si="65"/>
        <v>Aug</v>
      </c>
      <c r="P490" t="str">
        <f t="shared" si="66"/>
        <v>Mon</v>
      </c>
      <c r="Q490" t="str">
        <f t="shared" si="67"/>
        <v>Weekday</v>
      </c>
      <c r="R490">
        <f t="shared" si="68"/>
        <v>14</v>
      </c>
      <c r="S490" t="s">
        <v>528</v>
      </c>
    </row>
    <row r="491" spans="1:19" x14ac:dyDescent="0.25">
      <c r="A491">
        <v>7631</v>
      </c>
      <c r="B491" t="s">
        <v>352</v>
      </c>
      <c r="C491" t="s">
        <v>35</v>
      </c>
      <c r="D491" t="s">
        <v>22</v>
      </c>
      <c r="E491">
        <v>1</v>
      </c>
      <c r="F491" s="4">
        <v>18.78</v>
      </c>
      <c r="G491" s="4" t="str">
        <f t="shared" si="63"/>
        <v>Mid-Range</v>
      </c>
      <c r="H491" s="4">
        <f t="shared" si="69"/>
        <v>11.268000000000001</v>
      </c>
      <c r="I491">
        <f t="shared" si="64"/>
        <v>18.78</v>
      </c>
      <c r="J491" s="4">
        <f t="shared" si="70"/>
        <v>7.5120000000000005</v>
      </c>
      <c r="K491" s="8">
        <f t="shared" si="71"/>
        <v>0.4</v>
      </c>
      <c r="L491" t="s">
        <v>19</v>
      </c>
      <c r="M491" s="2">
        <v>45880.639004629629</v>
      </c>
      <c r="N491" s="3">
        <v>45880.639004629629</v>
      </c>
      <c r="O491" t="str">
        <f t="shared" si="65"/>
        <v>Aug</v>
      </c>
      <c r="P491" t="str">
        <f t="shared" si="66"/>
        <v>Mon</v>
      </c>
      <c r="Q491" t="str">
        <f t="shared" si="67"/>
        <v>Weekday</v>
      </c>
      <c r="R491">
        <f t="shared" si="68"/>
        <v>15</v>
      </c>
      <c r="S491" t="s">
        <v>528</v>
      </c>
    </row>
    <row r="492" spans="1:19" x14ac:dyDescent="0.25">
      <c r="A492">
        <v>1681</v>
      </c>
      <c r="B492" t="s">
        <v>322</v>
      </c>
      <c r="C492" t="s">
        <v>9</v>
      </c>
      <c r="D492" t="s">
        <v>10</v>
      </c>
      <c r="E492">
        <v>2</v>
      </c>
      <c r="F492" s="4">
        <v>14.85</v>
      </c>
      <c r="G492" s="4" t="str">
        <f t="shared" si="63"/>
        <v>Mid-Range</v>
      </c>
      <c r="H492" s="4">
        <f t="shared" si="69"/>
        <v>8.91</v>
      </c>
      <c r="I492">
        <f t="shared" si="64"/>
        <v>29.7</v>
      </c>
      <c r="J492" s="4">
        <f t="shared" si="70"/>
        <v>20.79</v>
      </c>
      <c r="K492" s="8">
        <f t="shared" si="71"/>
        <v>0.7</v>
      </c>
      <c r="L492" t="s">
        <v>15</v>
      </c>
      <c r="M492" s="2">
        <v>45880.762523148151</v>
      </c>
      <c r="N492" s="3">
        <v>45880.762523148151</v>
      </c>
      <c r="O492" t="str">
        <f t="shared" si="65"/>
        <v>Aug</v>
      </c>
      <c r="P492" t="str">
        <f t="shared" si="66"/>
        <v>Mon</v>
      </c>
      <c r="Q492" t="str">
        <f t="shared" si="67"/>
        <v>Weekday</v>
      </c>
      <c r="R492">
        <f t="shared" si="68"/>
        <v>18</v>
      </c>
      <c r="S492" t="s">
        <v>529</v>
      </c>
    </row>
    <row r="493" spans="1:19" x14ac:dyDescent="0.25">
      <c r="A493">
        <v>6841</v>
      </c>
      <c r="B493" t="s">
        <v>55</v>
      </c>
      <c r="C493" t="s">
        <v>13</v>
      </c>
      <c r="D493" t="s">
        <v>14</v>
      </c>
      <c r="E493">
        <v>5</v>
      </c>
      <c r="F493" s="4">
        <v>5.97</v>
      </c>
      <c r="G493" s="4" t="str">
        <f t="shared" si="63"/>
        <v>Budget</v>
      </c>
      <c r="H493" s="4">
        <f t="shared" si="69"/>
        <v>3.5819999999999999</v>
      </c>
      <c r="I493">
        <f t="shared" si="64"/>
        <v>29.849999999999998</v>
      </c>
      <c r="J493" s="4">
        <f t="shared" si="70"/>
        <v>26.267999999999997</v>
      </c>
      <c r="K493" s="8">
        <f t="shared" si="71"/>
        <v>0.88</v>
      </c>
      <c r="L493" t="s">
        <v>17</v>
      </c>
      <c r="M493" s="2">
        <v>45881.40011574074</v>
      </c>
      <c r="N493" s="3">
        <v>45881.40011574074</v>
      </c>
      <c r="O493" t="str">
        <f t="shared" si="65"/>
        <v>Aug</v>
      </c>
      <c r="P493" t="str">
        <f t="shared" si="66"/>
        <v>Tue</v>
      </c>
      <c r="Q493" t="str">
        <f t="shared" si="67"/>
        <v>Weekday</v>
      </c>
      <c r="R493">
        <f t="shared" si="68"/>
        <v>9</v>
      </c>
      <c r="S493" t="s">
        <v>527</v>
      </c>
    </row>
    <row r="494" spans="1:19" x14ac:dyDescent="0.25">
      <c r="A494">
        <v>8051</v>
      </c>
      <c r="B494" t="s">
        <v>141</v>
      </c>
      <c r="C494" t="s">
        <v>30</v>
      </c>
      <c r="D494" t="s">
        <v>10</v>
      </c>
      <c r="E494">
        <v>3</v>
      </c>
      <c r="F494" s="4">
        <v>22.52</v>
      </c>
      <c r="G494" s="4" t="str">
        <f t="shared" si="63"/>
        <v>Premium</v>
      </c>
      <c r="H494" s="4">
        <f t="shared" si="69"/>
        <v>13.511999999999999</v>
      </c>
      <c r="I494">
        <f t="shared" si="64"/>
        <v>67.56</v>
      </c>
      <c r="J494" s="4">
        <f t="shared" si="70"/>
        <v>54.048000000000002</v>
      </c>
      <c r="K494" s="8">
        <f t="shared" si="71"/>
        <v>0.8</v>
      </c>
      <c r="L494" t="s">
        <v>17</v>
      </c>
      <c r="M494" s="2">
        <v>45881.464490740742</v>
      </c>
      <c r="N494" s="3">
        <v>45881.464490740742</v>
      </c>
      <c r="O494" t="str">
        <f t="shared" si="65"/>
        <v>Aug</v>
      </c>
      <c r="P494" t="str">
        <f t="shared" si="66"/>
        <v>Tue</v>
      </c>
      <c r="Q494" t="str">
        <f t="shared" si="67"/>
        <v>Weekday</v>
      </c>
      <c r="R494">
        <f t="shared" si="68"/>
        <v>11</v>
      </c>
      <c r="S494" t="s">
        <v>527</v>
      </c>
    </row>
    <row r="495" spans="1:19" x14ac:dyDescent="0.25">
      <c r="A495">
        <v>5951</v>
      </c>
      <c r="B495" t="s">
        <v>227</v>
      </c>
      <c r="C495" t="s">
        <v>30</v>
      </c>
      <c r="D495" t="s">
        <v>10</v>
      </c>
      <c r="E495">
        <v>2</v>
      </c>
      <c r="F495" s="4">
        <v>9.76</v>
      </c>
      <c r="G495" s="4" t="str">
        <f t="shared" si="63"/>
        <v>Budget</v>
      </c>
      <c r="H495" s="4">
        <f t="shared" si="69"/>
        <v>5.8559999999999999</v>
      </c>
      <c r="I495">
        <f t="shared" si="64"/>
        <v>19.52</v>
      </c>
      <c r="J495" s="4">
        <f t="shared" si="70"/>
        <v>13.664</v>
      </c>
      <c r="K495" s="8">
        <f t="shared" si="71"/>
        <v>0.7</v>
      </c>
      <c r="L495" t="s">
        <v>17</v>
      </c>
      <c r="M495" s="2">
        <v>45881.708935185183</v>
      </c>
      <c r="N495" s="3">
        <v>45881.708935185183</v>
      </c>
      <c r="O495" t="str">
        <f t="shared" si="65"/>
        <v>Aug</v>
      </c>
      <c r="P495" t="str">
        <f t="shared" si="66"/>
        <v>Tue</v>
      </c>
      <c r="Q495" t="str">
        <f t="shared" si="67"/>
        <v>Weekday</v>
      </c>
      <c r="R495">
        <f t="shared" si="68"/>
        <v>17</v>
      </c>
      <c r="S495" t="s">
        <v>528</v>
      </c>
    </row>
    <row r="496" spans="1:19" x14ac:dyDescent="0.25">
      <c r="A496">
        <v>8243</v>
      </c>
      <c r="B496" t="s">
        <v>473</v>
      </c>
      <c r="C496" t="s">
        <v>35</v>
      </c>
      <c r="D496" t="s">
        <v>22</v>
      </c>
      <c r="E496">
        <v>4</v>
      </c>
      <c r="F496" s="4">
        <v>6.04</v>
      </c>
      <c r="G496" s="4" t="str">
        <f t="shared" si="63"/>
        <v>Budget</v>
      </c>
      <c r="H496" s="4">
        <f t="shared" si="69"/>
        <v>3.6239999999999997</v>
      </c>
      <c r="I496">
        <f t="shared" si="64"/>
        <v>24.16</v>
      </c>
      <c r="J496" s="4">
        <f t="shared" si="70"/>
        <v>20.536000000000001</v>
      </c>
      <c r="K496" s="8">
        <f t="shared" si="71"/>
        <v>0.85000000000000009</v>
      </c>
      <c r="L496" t="s">
        <v>15</v>
      </c>
      <c r="M496" s="2">
        <v>45881.993032407408</v>
      </c>
      <c r="N496" s="3">
        <v>45881.993032407408</v>
      </c>
      <c r="O496" t="str">
        <f t="shared" si="65"/>
        <v>Aug</v>
      </c>
      <c r="P496" t="str">
        <f t="shared" si="66"/>
        <v>Tue</v>
      </c>
      <c r="Q496" t="str">
        <f t="shared" si="67"/>
        <v>Weekday</v>
      </c>
      <c r="R496">
        <f t="shared" si="68"/>
        <v>23</v>
      </c>
      <c r="S496" t="s">
        <v>529</v>
      </c>
    </row>
    <row r="497" spans="1:19" x14ac:dyDescent="0.25">
      <c r="A497">
        <v>9578</v>
      </c>
      <c r="B497" t="s">
        <v>247</v>
      </c>
      <c r="C497" t="s">
        <v>40</v>
      </c>
      <c r="D497" t="s">
        <v>22</v>
      </c>
      <c r="E497">
        <v>2</v>
      </c>
      <c r="F497" s="4">
        <v>2.08</v>
      </c>
      <c r="G497" s="4" t="str">
        <f t="shared" si="63"/>
        <v>Budget</v>
      </c>
      <c r="H497" s="4">
        <f t="shared" si="69"/>
        <v>1.248</v>
      </c>
      <c r="I497">
        <f t="shared" si="64"/>
        <v>4.16</v>
      </c>
      <c r="J497" s="4">
        <f t="shared" si="70"/>
        <v>2.9119999999999999</v>
      </c>
      <c r="K497" s="8">
        <f t="shared" si="71"/>
        <v>0.7</v>
      </c>
      <c r="L497" t="s">
        <v>15</v>
      </c>
      <c r="M497" s="2">
        <v>45882.48704861111</v>
      </c>
      <c r="N497" s="3">
        <v>45882.48704861111</v>
      </c>
      <c r="O497" t="str">
        <f t="shared" si="65"/>
        <v>Aug</v>
      </c>
      <c r="P497" t="str">
        <f t="shared" si="66"/>
        <v>Wed</v>
      </c>
      <c r="Q497" t="str">
        <f t="shared" si="67"/>
        <v>Weekday</v>
      </c>
      <c r="R497">
        <f t="shared" si="68"/>
        <v>11</v>
      </c>
      <c r="S497" t="s">
        <v>527</v>
      </c>
    </row>
    <row r="498" spans="1:19" x14ac:dyDescent="0.25">
      <c r="A498">
        <v>9414</v>
      </c>
      <c r="B498" t="s">
        <v>508</v>
      </c>
      <c r="C498" t="s">
        <v>35</v>
      </c>
      <c r="D498" t="s">
        <v>22</v>
      </c>
      <c r="E498">
        <v>4</v>
      </c>
      <c r="F498" s="4">
        <v>15.55</v>
      </c>
      <c r="G498" s="4" t="str">
        <f t="shared" si="63"/>
        <v>Mid-Range</v>
      </c>
      <c r="H498" s="4">
        <f t="shared" si="69"/>
        <v>9.33</v>
      </c>
      <c r="I498">
        <f t="shared" si="64"/>
        <v>62.2</v>
      </c>
      <c r="J498" s="4">
        <f t="shared" si="70"/>
        <v>52.870000000000005</v>
      </c>
      <c r="K498" s="8">
        <f t="shared" si="71"/>
        <v>0.85000000000000009</v>
      </c>
      <c r="L498" t="s">
        <v>11</v>
      </c>
      <c r="M498" s="2">
        <v>45882.660358796296</v>
      </c>
      <c r="N498" s="3">
        <v>45882.660358796296</v>
      </c>
      <c r="O498" t="str">
        <f t="shared" si="65"/>
        <v>Aug</v>
      </c>
      <c r="P498" t="str">
        <f t="shared" si="66"/>
        <v>Wed</v>
      </c>
      <c r="Q498" t="str">
        <f t="shared" si="67"/>
        <v>Weekday</v>
      </c>
      <c r="R498">
        <f t="shared" si="68"/>
        <v>15</v>
      </c>
      <c r="S498" t="s">
        <v>528</v>
      </c>
    </row>
    <row r="499" spans="1:19" x14ac:dyDescent="0.25">
      <c r="A499">
        <v>3546</v>
      </c>
      <c r="B499" t="s">
        <v>276</v>
      </c>
      <c r="C499" t="s">
        <v>33</v>
      </c>
      <c r="D499" t="s">
        <v>14</v>
      </c>
      <c r="E499">
        <v>5</v>
      </c>
      <c r="F499" s="4">
        <v>3.44</v>
      </c>
      <c r="G499" s="4" t="str">
        <f t="shared" si="63"/>
        <v>Budget</v>
      </c>
      <c r="H499" s="4">
        <f t="shared" si="69"/>
        <v>2.0640000000000001</v>
      </c>
      <c r="I499">
        <f t="shared" si="64"/>
        <v>17.2</v>
      </c>
      <c r="J499" s="4">
        <f t="shared" si="70"/>
        <v>15.135999999999999</v>
      </c>
      <c r="K499" s="8">
        <f t="shared" si="71"/>
        <v>0.88</v>
      </c>
      <c r="L499" t="s">
        <v>17</v>
      </c>
      <c r="M499" s="2">
        <v>45882.989155092589</v>
      </c>
      <c r="N499" s="3">
        <v>45882.989155092589</v>
      </c>
      <c r="O499" t="str">
        <f t="shared" si="65"/>
        <v>Aug</v>
      </c>
      <c r="P499" t="str">
        <f t="shared" si="66"/>
        <v>Wed</v>
      </c>
      <c r="Q499" t="str">
        <f t="shared" si="67"/>
        <v>Weekday</v>
      </c>
      <c r="R499">
        <f t="shared" si="68"/>
        <v>23</v>
      </c>
      <c r="S499" t="s">
        <v>529</v>
      </c>
    </row>
    <row r="500" spans="1:19" x14ac:dyDescent="0.25">
      <c r="A500">
        <v>7940</v>
      </c>
      <c r="B500" t="s">
        <v>94</v>
      </c>
      <c r="C500" t="s">
        <v>28</v>
      </c>
      <c r="D500" t="s">
        <v>14</v>
      </c>
      <c r="E500">
        <v>4</v>
      </c>
      <c r="F500" s="4">
        <v>3.79</v>
      </c>
      <c r="G500" s="4" t="str">
        <f t="shared" si="63"/>
        <v>Budget</v>
      </c>
      <c r="H500" s="4">
        <f t="shared" si="69"/>
        <v>2.274</v>
      </c>
      <c r="I500">
        <f t="shared" si="64"/>
        <v>15.16</v>
      </c>
      <c r="J500" s="4">
        <f t="shared" si="70"/>
        <v>12.885999999999999</v>
      </c>
      <c r="K500" s="8">
        <f t="shared" si="71"/>
        <v>0.85</v>
      </c>
      <c r="L500" t="s">
        <v>19</v>
      </c>
      <c r="M500" s="2">
        <v>45883.220543981479</v>
      </c>
      <c r="N500" s="3">
        <v>45883.220543981479</v>
      </c>
      <c r="O500" t="str">
        <f t="shared" si="65"/>
        <v>Aug</v>
      </c>
      <c r="P500" t="str">
        <f t="shared" si="66"/>
        <v>Thu</v>
      </c>
      <c r="Q500" t="str">
        <f t="shared" si="67"/>
        <v>Weekday</v>
      </c>
      <c r="R500">
        <f t="shared" si="68"/>
        <v>5</v>
      </c>
      <c r="S500" t="s">
        <v>527</v>
      </c>
    </row>
    <row r="501" spans="1:19" x14ac:dyDescent="0.25">
      <c r="A501">
        <v>9086</v>
      </c>
      <c r="B501" t="s">
        <v>73</v>
      </c>
      <c r="C501" t="s">
        <v>21</v>
      </c>
      <c r="D501" t="s">
        <v>22</v>
      </c>
      <c r="E501">
        <v>1</v>
      </c>
      <c r="F501" s="4">
        <v>10.32</v>
      </c>
      <c r="G501" s="4" t="str">
        <f t="shared" si="63"/>
        <v>Mid-Range</v>
      </c>
      <c r="H501" s="4">
        <f t="shared" si="69"/>
        <v>6.1920000000000002</v>
      </c>
      <c r="I501">
        <f t="shared" si="64"/>
        <v>10.32</v>
      </c>
      <c r="J501" s="4">
        <f t="shared" si="70"/>
        <v>4.1280000000000001</v>
      </c>
      <c r="K501" s="8">
        <f t="shared" si="71"/>
        <v>0.4</v>
      </c>
      <c r="L501" t="s">
        <v>19</v>
      </c>
      <c r="M501" s="2">
        <v>45883.305625000001</v>
      </c>
      <c r="N501" s="3">
        <v>45883.305625000001</v>
      </c>
      <c r="O501" t="str">
        <f t="shared" si="65"/>
        <v>Aug</v>
      </c>
      <c r="P501" t="str">
        <f t="shared" si="66"/>
        <v>Thu</v>
      </c>
      <c r="Q501" t="str">
        <f t="shared" si="67"/>
        <v>Weekday</v>
      </c>
      <c r="R501">
        <f t="shared" si="68"/>
        <v>7</v>
      </c>
      <c r="S501" t="s">
        <v>527</v>
      </c>
    </row>
  </sheetData>
  <sortState xmlns:xlrd2="http://schemas.microsoft.com/office/spreadsheetml/2017/richdata2" ref="A2:T502">
    <sortCondition ref="M2:M502"/>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9"/>
  <sheetViews>
    <sheetView workbookViewId="0">
      <selection activeCell="F39" sqref="F39"/>
    </sheetView>
  </sheetViews>
  <sheetFormatPr defaultRowHeight="15" x14ac:dyDescent="0.25"/>
  <cols>
    <col min="1" max="1" width="11.28515625" bestFit="1" customWidth="1"/>
    <col min="2" max="2" width="15.42578125" bestFit="1" customWidth="1"/>
    <col min="3" max="3" width="12.28515625" bestFit="1" customWidth="1"/>
    <col min="4" max="4" width="12.7109375" bestFit="1" customWidth="1"/>
    <col min="5" max="5" width="14.140625" bestFit="1" customWidth="1"/>
    <col min="6" max="6" width="13.140625" bestFit="1" customWidth="1"/>
    <col min="7" max="8" width="12.7109375" bestFit="1" customWidth="1"/>
    <col min="9" max="9" width="18.7109375" bestFit="1" customWidth="1"/>
    <col min="10" max="10" width="12.7109375" bestFit="1" customWidth="1"/>
    <col min="11" max="11" width="14.140625" bestFit="1" customWidth="1"/>
    <col min="12" max="12" width="18.7109375" bestFit="1" customWidth="1"/>
    <col min="13" max="13" width="11.28515625" bestFit="1" customWidth="1"/>
    <col min="14" max="14" width="15.42578125" bestFit="1" customWidth="1"/>
    <col min="15" max="15" width="18.7109375" bestFit="1" customWidth="1"/>
    <col min="16" max="16" width="12.7109375" bestFit="1" customWidth="1"/>
    <col min="17" max="17" width="18.7109375" bestFit="1" customWidth="1"/>
    <col min="18" max="18" width="20.7109375" bestFit="1" customWidth="1"/>
    <col min="20" max="20" width="13.140625" bestFit="1" customWidth="1"/>
    <col min="21" max="21" width="17.28515625" bestFit="1" customWidth="1"/>
  </cols>
  <sheetData>
    <row r="1" spans="1:17" x14ac:dyDescent="0.25">
      <c r="H1" s="11" t="s">
        <v>562</v>
      </c>
      <c r="I1" s="12" t="s">
        <v>531</v>
      </c>
    </row>
    <row r="2" spans="1:17" x14ac:dyDescent="0.25">
      <c r="A2" s="11" t="s">
        <v>523</v>
      </c>
      <c r="B2" s="12" t="s">
        <v>531</v>
      </c>
      <c r="H2" s="13" t="s">
        <v>28</v>
      </c>
      <c r="I2" s="12">
        <v>2236.58</v>
      </c>
      <c r="K2" s="11" t="s">
        <v>563</v>
      </c>
      <c r="L2" s="12" t="s">
        <v>531</v>
      </c>
      <c r="N2" s="11" t="s">
        <v>564</v>
      </c>
      <c r="O2" s="12" t="s">
        <v>531</v>
      </c>
    </row>
    <row r="3" spans="1:17" x14ac:dyDescent="0.25">
      <c r="A3" s="13" t="s">
        <v>532</v>
      </c>
      <c r="B3" s="12">
        <v>2015.4799999999996</v>
      </c>
      <c r="D3" s="11" t="s">
        <v>3</v>
      </c>
      <c r="E3" s="12" t="s">
        <v>531</v>
      </c>
      <c r="H3" s="13" t="s">
        <v>9</v>
      </c>
      <c r="I3" s="12">
        <v>2267.7299999999996</v>
      </c>
      <c r="K3" s="13" t="s">
        <v>528</v>
      </c>
      <c r="L3" s="12">
        <v>6027.89</v>
      </c>
      <c r="N3" s="13" t="s">
        <v>11</v>
      </c>
      <c r="O3" s="12">
        <v>5197.680000000003</v>
      </c>
    </row>
    <row r="4" spans="1:17" x14ac:dyDescent="0.25">
      <c r="A4" s="13" t="s">
        <v>533</v>
      </c>
      <c r="B4" s="12">
        <v>2598.7199999999993</v>
      </c>
      <c r="D4" s="13" t="s">
        <v>14</v>
      </c>
      <c r="E4" s="12">
        <v>6509.9900000000016</v>
      </c>
      <c r="H4" s="13" t="s">
        <v>35</v>
      </c>
      <c r="I4" s="12">
        <v>2340.48</v>
      </c>
      <c r="K4" s="13" t="s">
        <v>529</v>
      </c>
      <c r="L4" s="12">
        <v>4568.340000000002</v>
      </c>
      <c r="N4" s="13" t="s">
        <v>17</v>
      </c>
      <c r="O4" s="12">
        <v>5322.9800000000014</v>
      </c>
    </row>
    <row r="5" spans="1:17" x14ac:dyDescent="0.25">
      <c r="A5" s="13" t="s">
        <v>534</v>
      </c>
      <c r="B5" s="12">
        <v>3237.4300000000003</v>
      </c>
      <c r="D5" s="13" t="s">
        <v>10</v>
      </c>
      <c r="E5" s="12">
        <v>7026.7900000000045</v>
      </c>
      <c r="H5" s="13" t="s">
        <v>13</v>
      </c>
      <c r="I5" s="12">
        <v>2570.1899999999996</v>
      </c>
      <c r="K5" s="13" t="s">
        <v>527</v>
      </c>
      <c r="L5" s="12">
        <v>9426.909999999998</v>
      </c>
      <c r="N5" s="13" t="s">
        <v>15</v>
      </c>
      <c r="O5" s="12">
        <v>4620.7300000000014</v>
      </c>
    </row>
    <row r="6" spans="1:17" x14ac:dyDescent="0.25">
      <c r="A6" s="13" t="s">
        <v>535</v>
      </c>
      <c r="B6" s="12">
        <v>2576.14</v>
      </c>
      <c r="D6" s="13" t="s">
        <v>22</v>
      </c>
      <c r="E6" s="12">
        <v>6486.3599999999988</v>
      </c>
      <c r="H6" s="13" t="s">
        <v>37</v>
      </c>
      <c r="I6" s="12">
        <v>2627.89</v>
      </c>
      <c r="K6" s="13" t="s">
        <v>530</v>
      </c>
      <c r="L6" s="12">
        <v>20023.14</v>
      </c>
      <c r="N6" s="13" t="s">
        <v>19</v>
      </c>
      <c r="O6" s="12">
        <v>4881.75</v>
      </c>
    </row>
    <row r="7" spans="1:17" x14ac:dyDescent="0.25">
      <c r="A7" s="13" t="s">
        <v>536</v>
      </c>
      <c r="B7" s="12">
        <v>2622.5299999999993</v>
      </c>
      <c r="D7" s="13" t="s">
        <v>530</v>
      </c>
      <c r="E7" s="12">
        <v>20023.140000000007</v>
      </c>
      <c r="H7" s="13" t="s">
        <v>530</v>
      </c>
      <c r="I7" s="12">
        <v>12042.869999999999</v>
      </c>
      <c r="N7" s="13" t="s">
        <v>530</v>
      </c>
      <c r="O7" s="12">
        <v>20023.140000000007</v>
      </c>
    </row>
    <row r="8" spans="1:17" x14ac:dyDescent="0.25">
      <c r="A8" s="13" t="s">
        <v>537</v>
      </c>
      <c r="B8" s="12">
        <v>2602.6</v>
      </c>
    </row>
    <row r="9" spans="1:17" x14ac:dyDescent="0.25">
      <c r="A9" s="13" t="s">
        <v>538</v>
      </c>
      <c r="B9" s="12">
        <v>3313.6400000000003</v>
      </c>
    </row>
    <row r="10" spans="1:17" x14ac:dyDescent="0.25">
      <c r="A10" s="13" t="s">
        <v>539</v>
      </c>
      <c r="B10" s="12">
        <v>1056.5999999999999</v>
      </c>
    </row>
    <row r="11" spans="1:17" x14ac:dyDescent="0.25">
      <c r="A11" s="13" t="s">
        <v>530</v>
      </c>
      <c r="B11" s="12">
        <v>20023.139999999996</v>
      </c>
    </row>
    <row r="16" spans="1:17" x14ac:dyDescent="0.25">
      <c r="A16" s="5" t="s">
        <v>567</v>
      </c>
      <c r="B16" t="s">
        <v>549</v>
      </c>
      <c r="D16" s="11" t="s">
        <v>524</v>
      </c>
      <c r="E16" s="12" t="s">
        <v>550</v>
      </c>
      <c r="G16" s="11" t="s">
        <v>524</v>
      </c>
      <c r="H16" s="12" t="s">
        <v>531</v>
      </c>
      <c r="J16" s="11" t="s">
        <v>566</v>
      </c>
      <c r="K16" s="12" t="s">
        <v>550</v>
      </c>
      <c r="M16" s="5" t="s">
        <v>3</v>
      </c>
      <c r="N16" t="s">
        <v>549</v>
      </c>
      <c r="P16" s="11" t="s">
        <v>565</v>
      </c>
      <c r="Q16" s="12" t="s">
        <v>531</v>
      </c>
    </row>
    <row r="17" spans="1:17" x14ac:dyDescent="0.25">
      <c r="A17" s="6" t="s">
        <v>37</v>
      </c>
      <c r="B17">
        <v>200</v>
      </c>
      <c r="D17" s="13" t="s">
        <v>542</v>
      </c>
      <c r="E17" s="12">
        <v>2688.4780000000014</v>
      </c>
      <c r="G17" s="13" t="s">
        <v>542</v>
      </c>
      <c r="H17" s="12">
        <v>3347.8599999999988</v>
      </c>
      <c r="J17" s="13" t="s">
        <v>532</v>
      </c>
      <c r="K17" s="12">
        <v>1606.5560000000003</v>
      </c>
      <c r="M17" s="6" t="s">
        <v>14</v>
      </c>
      <c r="N17" s="7">
        <v>504</v>
      </c>
      <c r="P17" s="13" t="s">
        <v>554</v>
      </c>
      <c r="Q17" s="12">
        <v>14655.310000000009</v>
      </c>
    </row>
    <row r="18" spans="1:17" x14ac:dyDescent="0.25">
      <c r="A18" s="6" t="s">
        <v>13</v>
      </c>
      <c r="B18">
        <v>192</v>
      </c>
      <c r="D18" s="13" t="s">
        <v>543</v>
      </c>
      <c r="E18" s="12">
        <v>2347.8740000000007</v>
      </c>
      <c r="G18" s="13" t="s">
        <v>543</v>
      </c>
      <c r="H18" s="12">
        <v>2879.4200000000005</v>
      </c>
      <c r="J18" s="13" t="s">
        <v>533</v>
      </c>
      <c r="K18" s="12">
        <v>2114.5800000000004</v>
      </c>
      <c r="M18" s="6" t="s">
        <v>10</v>
      </c>
      <c r="N18" s="7">
        <v>523</v>
      </c>
      <c r="P18" s="13" t="s">
        <v>555</v>
      </c>
      <c r="Q18" s="12">
        <v>5367.8300000000008</v>
      </c>
    </row>
    <row r="19" spans="1:17" x14ac:dyDescent="0.25">
      <c r="A19" s="6" t="s">
        <v>35</v>
      </c>
      <c r="B19">
        <v>179</v>
      </c>
      <c r="D19" s="13" t="s">
        <v>544</v>
      </c>
      <c r="E19" s="12">
        <v>1889.548</v>
      </c>
      <c r="G19" s="13" t="s">
        <v>544</v>
      </c>
      <c r="H19" s="12">
        <v>2443.9899999999993</v>
      </c>
      <c r="J19" s="13" t="s">
        <v>534</v>
      </c>
      <c r="K19" s="12">
        <v>2592.8439999999996</v>
      </c>
      <c r="M19" s="6" t="s">
        <v>22</v>
      </c>
      <c r="N19" s="7">
        <v>488</v>
      </c>
      <c r="P19" s="13" t="s">
        <v>530</v>
      </c>
      <c r="Q19" s="12">
        <v>20023.14000000001</v>
      </c>
    </row>
    <row r="20" spans="1:17" x14ac:dyDescent="0.25">
      <c r="A20" s="6" t="s">
        <v>30</v>
      </c>
      <c r="B20">
        <v>169</v>
      </c>
      <c r="D20" s="13" t="s">
        <v>545</v>
      </c>
      <c r="E20" s="12">
        <v>2238.273999999999</v>
      </c>
      <c r="G20" s="13" t="s">
        <v>545</v>
      </c>
      <c r="H20" s="12">
        <v>2887.3299999999986</v>
      </c>
      <c r="J20" s="13" t="s">
        <v>535</v>
      </c>
      <c r="K20" s="12">
        <v>2041.1619999999994</v>
      </c>
      <c r="M20" s="6" t="s">
        <v>530</v>
      </c>
      <c r="N20" s="7">
        <v>1515</v>
      </c>
    </row>
    <row r="21" spans="1:17" x14ac:dyDescent="0.25">
      <c r="A21" s="6" t="s">
        <v>28</v>
      </c>
      <c r="B21">
        <v>164</v>
      </c>
      <c r="D21" s="13" t="s">
        <v>546</v>
      </c>
      <c r="E21" s="12">
        <v>2548.3100000000004</v>
      </c>
      <c r="G21" s="13" t="s">
        <v>546</v>
      </c>
      <c r="H21" s="12">
        <v>3096.7100000000005</v>
      </c>
      <c r="J21" s="13" t="s">
        <v>536</v>
      </c>
      <c r="K21" s="12">
        <v>2128.712</v>
      </c>
    </row>
    <row r="22" spans="1:17" x14ac:dyDescent="0.25">
      <c r="A22" s="6" t="s">
        <v>40</v>
      </c>
      <c r="B22">
        <v>159</v>
      </c>
      <c r="D22" s="13" t="s">
        <v>547</v>
      </c>
      <c r="E22" s="12">
        <v>2376.2039999999997</v>
      </c>
      <c r="G22" s="13" t="s">
        <v>547</v>
      </c>
      <c r="H22" s="12">
        <v>2872.44</v>
      </c>
      <c r="J22" s="13" t="s">
        <v>537</v>
      </c>
      <c r="K22" s="12">
        <v>2083.6900000000005</v>
      </c>
    </row>
    <row r="23" spans="1:17" x14ac:dyDescent="0.25">
      <c r="A23" s="6" t="s">
        <v>9</v>
      </c>
      <c r="B23">
        <v>154</v>
      </c>
      <c r="D23" s="13" t="s">
        <v>548</v>
      </c>
      <c r="E23" s="12">
        <v>1975.2980000000002</v>
      </c>
      <c r="G23" s="13" t="s">
        <v>548</v>
      </c>
      <c r="H23" s="12">
        <v>2495.39</v>
      </c>
      <c r="J23" s="13" t="s">
        <v>538</v>
      </c>
      <c r="K23" s="12">
        <v>2672.6959999999995</v>
      </c>
    </row>
    <row r="24" spans="1:17" x14ac:dyDescent="0.25">
      <c r="A24" s="6" t="s">
        <v>21</v>
      </c>
      <c r="B24">
        <v>150</v>
      </c>
      <c r="D24" s="13" t="s">
        <v>530</v>
      </c>
      <c r="E24" s="12">
        <v>16063.986000000001</v>
      </c>
      <c r="G24" s="13" t="s">
        <v>530</v>
      </c>
      <c r="H24" s="12">
        <v>20023.139999999996</v>
      </c>
      <c r="J24" s="13" t="s">
        <v>539</v>
      </c>
      <c r="K24" s="12">
        <v>823.74600000000009</v>
      </c>
    </row>
    <row r="25" spans="1:17" x14ac:dyDescent="0.25">
      <c r="A25" s="6" t="s">
        <v>33</v>
      </c>
      <c r="B25">
        <v>148</v>
      </c>
      <c r="J25" s="13" t="s">
        <v>530</v>
      </c>
      <c r="K25" s="12">
        <v>16063.986000000001</v>
      </c>
    </row>
    <row r="26" spans="1:17" x14ac:dyDescent="0.25">
      <c r="A26" s="6" t="s">
        <v>530</v>
      </c>
      <c r="B26">
        <v>1515</v>
      </c>
    </row>
    <row r="29" spans="1:17" x14ac:dyDescent="0.25">
      <c r="N29"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F925F-4D8A-443A-9575-E4833E62C193}">
  <dimension ref="A1:B28"/>
  <sheetViews>
    <sheetView workbookViewId="0">
      <selection activeCell="B28" sqref="B28"/>
    </sheetView>
  </sheetViews>
  <sheetFormatPr defaultRowHeight="15" x14ac:dyDescent="0.25"/>
  <cols>
    <col min="1" max="1" width="18.7109375" bestFit="1" customWidth="1"/>
    <col min="2" max="2" width="23.7109375" bestFit="1" customWidth="1"/>
  </cols>
  <sheetData>
    <row r="1" spans="1:2" x14ac:dyDescent="0.25">
      <c r="A1" t="s">
        <v>559</v>
      </c>
      <c r="B1">
        <f>COUNTA(restaurant_orders!E:E)-1</f>
        <v>500</v>
      </c>
    </row>
    <row r="2" spans="1:2" x14ac:dyDescent="0.25">
      <c r="A2" t="s">
        <v>560</v>
      </c>
      <c r="B2" s="9">
        <f>SUM(restaurant_orders!E:E)</f>
        <v>1515</v>
      </c>
    </row>
    <row r="3" spans="1:2" x14ac:dyDescent="0.25">
      <c r="A3" t="s">
        <v>561</v>
      </c>
      <c r="B3" s="7">
        <f>SUM(restaurant_orders!E:E)/(COUNTA(restaurant_orders!A:A)-1)</f>
        <v>3.03</v>
      </c>
    </row>
    <row r="4" spans="1:2" x14ac:dyDescent="0.25">
      <c r="A4" t="s">
        <v>556</v>
      </c>
      <c r="B4" s="9">
        <f>SUM(restaurant_orders!I:I)</f>
        <v>20023.140000000014</v>
      </c>
    </row>
    <row r="5" spans="1:2" x14ac:dyDescent="0.25">
      <c r="A5" t="s">
        <v>557</v>
      </c>
      <c r="B5" s="9">
        <f>SUM(restaurant_orders!J:J)</f>
        <v>16063.985999999995</v>
      </c>
    </row>
    <row r="6" spans="1:2" x14ac:dyDescent="0.25">
      <c r="A6" t="s">
        <v>558</v>
      </c>
      <c r="B6" s="8">
        <f>SUM(restaurant_orders!J:J)/SUM(restaurant_orders!I:I)</f>
        <v>0.80227107236926798</v>
      </c>
    </row>
    <row r="23" spans="1:2" x14ac:dyDescent="0.25">
      <c r="A23" t="s">
        <v>559</v>
      </c>
      <c r="B23" s="14">
        <f>COUNTA(restaurant_orders!E:E)-1</f>
        <v>500</v>
      </c>
    </row>
    <row r="24" spans="1:2" x14ac:dyDescent="0.25">
      <c r="A24" t="s">
        <v>560</v>
      </c>
      <c r="B24" s="15">
        <f>SUM(restaurant_orders!E:E)</f>
        <v>1515</v>
      </c>
    </row>
    <row r="25" spans="1:2" x14ac:dyDescent="0.25">
      <c r="A25" t="s">
        <v>561</v>
      </c>
      <c r="B25" s="16">
        <f>SUM(restaurant_orders!E:E)/(COUNTA(restaurant_orders!A:A)-1)</f>
        <v>3.03</v>
      </c>
    </row>
    <row r="26" spans="1:2" x14ac:dyDescent="0.25">
      <c r="A26" t="s">
        <v>556</v>
      </c>
      <c r="B26" s="17">
        <f>SUM(restaurant_orders!I:I)</f>
        <v>20023.140000000014</v>
      </c>
    </row>
    <row r="27" spans="1:2" x14ac:dyDescent="0.25">
      <c r="A27" t="s">
        <v>557</v>
      </c>
      <c r="B27" s="18">
        <f>SUM(restaurant_orders!J:J)</f>
        <v>16063.985999999995</v>
      </c>
    </row>
    <row r="28" spans="1:2" x14ac:dyDescent="0.25">
      <c r="A28" t="s">
        <v>558</v>
      </c>
      <c r="B28" s="19">
        <f>SUM(restaurant_orders!J:J)/SUM(restaurant_orders!I:I)</f>
        <v>0.80227107236926798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AC77-6AD1-4461-8132-C4B5BF6A2BF4}">
  <dimension ref="A1:I38"/>
  <sheetViews>
    <sheetView tabSelected="1" zoomScale="145" zoomScaleNormal="145" workbookViewId="0">
      <selection activeCell="K33" sqref="K33"/>
    </sheetView>
  </sheetViews>
  <sheetFormatPr defaultRowHeight="15" x14ac:dyDescent="0.25"/>
  <sheetData>
    <row r="1" spans="1:9" x14ac:dyDescent="0.25">
      <c r="A1" s="10"/>
      <c r="B1" s="10"/>
      <c r="C1" s="10"/>
      <c r="D1" s="10"/>
      <c r="E1" s="10"/>
      <c r="F1" s="10"/>
      <c r="G1" s="10"/>
      <c r="H1" s="10"/>
      <c r="I1" s="10"/>
    </row>
    <row r="2" spans="1:9" x14ac:dyDescent="0.25">
      <c r="A2" s="10"/>
      <c r="B2" s="10"/>
      <c r="C2" s="10"/>
      <c r="D2" s="10"/>
      <c r="E2" s="10"/>
      <c r="F2" s="10"/>
      <c r="G2" s="10"/>
      <c r="H2" s="10"/>
      <c r="I2" s="10"/>
    </row>
    <row r="3" spans="1:9" x14ac:dyDescent="0.25">
      <c r="A3" s="10"/>
      <c r="B3" s="10"/>
      <c r="C3" s="10"/>
      <c r="D3" s="10"/>
      <c r="E3" s="10"/>
      <c r="F3" s="10"/>
      <c r="G3" s="10"/>
      <c r="H3" s="10"/>
      <c r="I3" s="10"/>
    </row>
    <row r="4" spans="1:9" x14ac:dyDescent="0.25">
      <c r="A4" s="10"/>
      <c r="B4" s="10"/>
      <c r="C4" s="10"/>
      <c r="D4" s="10"/>
      <c r="E4" s="10"/>
      <c r="F4" s="10"/>
      <c r="G4" s="10"/>
      <c r="H4" s="10"/>
      <c r="I4" s="10"/>
    </row>
    <row r="5" spans="1:9" x14ac:dyDescent="0.25">
      <c r="A5" s="10"/>
      <c r="B5" s="10"/>
      <c r="C5" s="10"/>
      <c r="D5" s="10"/>
      <c r="E5" s="10"/>
      <c r="F5" s="10"/>
      <c r="G5" s="10"/>
      <c r="H5" s="10"/>
      <c r="I5" s="10"/>
    </row>
    <row r="6" spans="1:9" x14ac:dyDescent="0.25">
      <c r="A6" s="10"/>
      <c r="B6" s="10"/>
      <c r="C6" s="10"/>
      <c r="D6" s="10"/>
      <c r="E6" s="10"/>
      <c r="F6" s="10"/>
      <c r="G6" s="10"/>
      <c r="H6" s="10"/>
      <c r="I6" s="10"/>
    </row>
    <row r="7" spans="1:9" x14ac:dyDescent="0.25">
      <c r="A7" s="10"/>
      <c r="B7" s="10"/>
      <c r="C7" s="10"/>
      <c r="D7" s="10"/>
      <c r="E7" s="10"/>
      <c r="F7" s="10"/>
      <c r="G7" s="10"/>
      <c r="H7" s="10"/>
      <c r="I7" s="10"/>
    </row>
    <row r="8" spans="1:9" x14ac:dyDescent="0.25">
      <c r="A8" s="10"/>
      <c r="B8" s="10"/>
      <c r="C8" s="10"/>
      <c r="D8" s="10"/>
      <c r="E8" s="10"/>
      <c r="F8" s="10"/>
      <c r="G8" s="10"/>
      <c r="H8" s="10"/>
      <c r="I8" s="10"/>
    </row>
    <row r="9" spans="1:9" x14ac:dyDescent="0.25">
      <c r="A9" s="10"/>
      <c r="B9" s="10"/>
      <c r="C9" s="10"/>
      <c r="D9" s="10"/>
      <c r="E9" s="10"/>
      <c r="F9" s="10"/>
      <c r="G9" s="10"/>
      <c r="H9" s="10"/>
      <c r="I9" s="10"/>
    </row>
    <row r="10" spans="1:9" x14ac:dyDescent="0.25">
      <c r="A10" s="10"/>
      <c r="B10" s="10"/>
      <c r="C10" s="10"/>
      <c r="D10" s="10"/>
      <c r="E10" s="10"/>
      <c r="F10" s="10"/>
      <c r="G10" s="10"/>
      <c r="H10" s="10"/>
      <c r="I10" s="10"/>
    </row>
    <row r="11" spans="1:9" x14ac:dyDescent="0.25">
      <c r="A11" s="10"/>
      <c r="B11" s="10"/>
      <c r="C11" s="10"/>
      <c r="D11" s="10"/>
      <c r="E11" s="10"/>
      <c r="F11" s="10"/>
      <c r="G11" s="10"/>
      <c r="H11" s="10"/>
      <c r="I11" s="10"/>
    </row>
    <row r="12" spans="1:9" x14ac:dyDescent="0.25">
      <c r="A12" s="10"/>
      <c r="B12" s="10"/>
      <c r="C12" s="10"/>
      <c r="D12" s="10"/>
      <c r="E12" s="10"/>
      <c r="F12" s="10"/>
      <c r="G12" s="10"/>
      <c r="H12" s="10"/>
      <c r="I12" s="10"/>
    </row>
    <row r="13" spans="1:9" x14ac:dyDescent="0.25">
      <c r="A13" s="10"/>
      <c r="B13" s="10"/>
      <c r="C13" s="10"/>
      <c r="D13" s="10"/>
      <c r="E13" s="10"/>
      <c r="F13" s="10"/>
      <c r="G13" s="10"/>
      <c r="H13" s="10"/>
      <c r="I13" s="10"/>
    </row>
    <row r="14" spans="1:9" x14ac:dyDescent="0.25">
      <c r="A14" s="10"/>
      <c r="B14" s="10"/>
      <c r="C14" s="10"/>
      <c r="D14" s="10"/>
      <c r="E14" s="10"/>
      <c r="F14" s="10"/>
      <c r="G14" s="10"/>
      <c r="H14" s="10"/>
      <c r="I14" s="10"/>
    </row>
    <row r="15" spans="1:9" x14ac:dyDescent="0.25">
      <c r="A15" s="10"/>
      <c r="B15" s="10"/>
      <c r="C15" s="10"/>
      <c r="D15" s="10"/>
      <c r="E15" s="10"/>
      <c r="F15" s="10"/>
      <c r="G15" s="10"/>
      <c r="H15" s="10"/>
      <c r="I15" s="10"/>
    </row>
    <row r="16" spans="1:9" x14ac:dyDescent="0.25">
      <c r="A16" s="10"/>
      <c r="B16" s="10"/>
      <c r="C16" s="10"/>
      <c r="D16" s="10"/>
      <c r="E16" s="10"/>
      <c r="F16" s="10"/>
      <c r="G16" s="10"/>
      <c r="H16" s="10"/>
      <c r="I16" s="10"/>
    </row>
    <row r="17" spans="1:9" x14ac:dyDescent="0.25">
      <c r="A17" s="10"/>
      <c r="B17" s="10"/>
      <c r="C17" s="10"/>
      <c r="D17" s="10"/>
      <c r="E17" s="10"/>
      <c r="F17" s="10"/>
      <c r="G17" s="10"/>
      <c r="H17" s="10"/>
      <c r="I17" s="10"/>
    </row>
    <row r="18" spans="1:9" x14ac:dyDescent="0.25">
      <c r="A18" s="10"/>
      <c r="B18" s="10"/>
      <c r="C18" s="10"/>
      <c r="D18" s="10"/>
      <c r="E18" s="10"/>
      <c r="F18" s="10"/>
      <c r="G18" s="10"/>
      <c r="H18" s="10"/>
      <c r="I18" s="10"/>
    </row>
    <row r="19" spans="1:9" x14ac:dyDescent="0.25">
      <c r="A19" s="10"/>
      <c r="B19" s="10"/>
      <c r="C19" s="10"/>
      <c r="D19" s="10"/>
      <c r="E19" s="10"/>
      <c r="F19" s="10"/>
      <c r="G19" s="10"/>
      <c r="H19" s="10"/>
      <c r="I19" s="10"/>
    </row>
    <row r="20" spans="1:9" x14ac:dyDescent="0.25">
      <c r="A20" s="10"/>
      <c r="B20" s="10"/>
      <c r="C20" s="10"/>
      <c r="D20" s="10"/>
      <c r="E20" s="10"/>
      <c r="F20" s="10"/>
      <c r="G20" s="10"/>
      <c r="H20" s="10"/>
      <c r="I20" s="10"/>
    </row>
    <row r="21" spans="1:9" x14ac:dyDescent="0.25">
      <c r="A21" s="10"/>
      <c r="B21" s="10"/>
      <c r="C21" s="10"/>
      <c r="D21" s="10"/>
      <c r="E21" s="10"/>
      <c r="F21" s="10"/>
      <c r="G21" s="10"/>
      <c r="H21" s="10"/>
      <c r="I21" s="10"/>
    </row>
    <row r="22" spans="1:9" x14ac:dyDescent="0.25">
      <c r="A22" s="10"/>
      <c r="B22" s="10"/>
      <c r="C22" s="10"/>
      <c r="D22" s="10"/>
      <c r="E22" s="10"/>
      <c r="F22" s="10"/>
      <c r="G22" s="10"/>
      <c r="H22" s="10"/>
      <c r="I22" s="10"/>
    </row>
    <row r="23" spans="1:9" x14ac:dyDescent="0.25">
      <c r="A23" s="10"/>
      <c r="B23" s="10"/>
      <c r="C23" s="10"/>
      <c r="D23" s="10"/>
      <c r="E23" s="10"/>
      <c r="F23" s="10"/>
      <c r="G23" s="10"/>
      <c r="H23" s="10"/>
      <c r="I23" s="10"/>
    </row>
    <row r="24" spans="1:9" x14ac:dyDescent="0.25">
      <c r="A24" s="10"/>
      <c r="B24" s="10"/>
      <c r="C24" s="10"/>
      <c r="D24" s="10"/>
      <c r="E24" s="10"/>
      <c r="F24" s="10"/>
      <c r="G24" s="10"/>
      <c r="H24" s="10"/>
      <c r="I24" s="10"/>
    </row>
    <row r="25" spans="1:9" x14ac:dyDescent="0.25">
      <c r="A25" s="10"/>
      <c r="B25" s="10"/>
      <c r="C25" s="10"/>
      <c r="D25" s="10"/>
      <c r="E25" s="10"/>
      <c r="F25" s="10"/>
      <c r="G25" s="10"/>
      <c r="H25" s="10"/>
      <c r="I25" s="10"/>
    </row>
    <row r="26" spans="1:9" x14ac:dyDescent="0.25">
      <c r="A26" s="10"/>
      <c r="B26" s="10"/>
      <c r="C26" s="10"/>
      <c r="D26" s="10"/>
      <c r="E26" s="10"/>
      <c r="F26" s="10"/>
      <c r="G26" s="10"/>
      <c r="H26" s="10"/>
      <c r="I26" s="10"/>
    </row>
    <row r="27" spans="1:9" x14ac:dyDescent="0.25">
      <c r="A27" s="10"/>
      <c r="B27" s="10"/>
      <c r="C27" s="10"/>
      <c r="D27" s="10"/>
      <c r="E27" s="10"/>
      <c r="F27" s="10"/>
      <c r="G27" s="10"/>
      <c r="H27" s="10"/>
      <c r="I27" s="10"/>
    </row>
    <row r="28" spans="1:9" x14ac:dyDescent="0.25">
      <c r="A28" s="10"/>
      <c r="B28" s="10"/>
      <c r="C28" s="10"/>
      <c r="D28" s="10"/>
      <c r="E28" s="10"/>
      <c r="F28" s="10"/>
      <c r="G28" s="10"/>
      <c r="H28" s="10"/>
      <c r="I28" s="10"/>
    </row>
    <row r="29" spans="1:9" x14ac:dyDescent="0.25">
      <c r="A29" s="10"/>
      <c r="B29" s="10"/>
      <c r="C29" s="10"/>
      <c r="D29" s="10"/>
      <c r="E29" s="10"/>
      <c r="F29" s="10"/>
      <c r="G29" s="10"/>
      <c r="H29" s="10"/>
      <c r="I29" s="10"/>
    </row>
    <row r="30" spans="1:9" x14ac:dyDescent="0.25">
      <c r="A30" s="10"/>
      <c r="B30" s="10"/>
      <c r="C30" s="10"/>
      <c r="D30" s="10"/>
      <c r="E30" s="10"/>
      <c r="F30" s="10"/>
      <c r="G30" s="10"/>
      <c r="H30" s="10"/>
      <c r="I30" s="10"/>
    </row>
    <row r="31" spans="1:9" x14ac:dyDescent="0.25">
      <c r="A31" s="10"/>
      <c r="B31" s="10"/>
      <c r="C31" s="10"/>
      <c r="D31" s="10"/>
      <c r="E31" s="10"/>
      <c r="F31" s="10"/>
      <c r="G31" s="10"/>
      <c r="H31" s="10"/>
      <c r="I31" s="10"/>
    </row>
    <row r="32" spans="1:9" x14ac:dyDescent="0.25">
      <c r="A32" s="10"/>
      <c r="B32" s="10"/>
      <c r="C32" s="10"/>
      <c r="D32" s="10"/>
      <c r="E32" s="10"/>
      <c r="F32" s="10"/>
      <c r="G32" s="10"/>
      <c r="H32" s="10"/>
      <c r="I32" s="10"/>
    </row>
    <row r="33" spans="1:9" x14ac:dyDescent="0.25">
      <c r="A33" s="10"/>
      <c r="B33" s="10"/>
      <c r="C33" s="10"/>
      <c r="D33" s="10"/>
      <c r="E33" s="10"/>
      <c r="F33" s="10"/>
      <c r="G33" s="10"/>
      <c r="H33" s="10"/>
      <c r="I33" s="10"/>
    </row>
    <row r="34" spans="1:9" x14ac:dyDescent="0.25">
      <c r="A34" s="10"/>
      <c r="B34" s="10"/>
      <c r="C34" s="10"/>
      <c r="D34" s="10"/>
      <c r="E34" s="10"/>
      <c r="F34" s="10"/>
      <c r="G34" s="10"/>
      <c r="H34" s="10"/>
      <c r="I34" s="10"/>
    </row>
    <row r="35" spans="1:9" x14ac:dyDescent="0.25">
      <c r="A35" s="10"/>
      <c r="B35" s="10"/>
      <c r="C35" s="10"/>
      <c r="D35" s="10"/>
      <c r="E35" s="10"/>
      <c r="F35" s="10"/>
      <c r="G35" s="10"/>
      <c r="H35" s="10"/>
      <c r="I35" s="10"/>
    </row>
    <row r="36" spans="1:9" x14ac:dyDescent="0.25">
      <c r="A36" s="10"/>
      <c r="B36" s="10"/>
      <c r="C36" s="10"/>
      <c r="D36" s="10"/>
      <c r="E36" s="10"/>
      <c r="F36" s="10"/>
      <c r="G36" s="10"/>
      <c r="H36" s="10"/>
      <c r="I36" s="10"/>
    </row>
    <row r="37" spans="1:9" x14ac:dyDescent="0.25">
      <c r="A37" s="10"/>
      <c r="B37" s="10"/>
      <c r="C37" s="10"/>
      <c r="D37" s="10"/>
      <c r="E37" s="10"/>
      <c r="F37" s="10"/>
      <c r="G37" s="10"/>
      <c r="H37" s="10"/>
      <c r="I37" s="10"/>
    </row>
    <row r="38" spans="1:9" x14ac:dyDescent="0.25">
      <c r="A38" s="10"/>
      <c r="B38" s="10"/>
      <c r="C38" s="10"/>
      <c r="D38" s="10"/>
      <c r="E38" s="10"/>
      <c r="F38" s="10"/>
      <c r="G38" s="10"/>
      <c r="H38" s="10"/>
      <c r="I38"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restaurant_orders</vt:lpstr>
      <vt:lpstr>Pivot_Table</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youssef mohamed</dc:creator>
  <cp:lastModifiedBy>youssef mohamed</cp:lastModifiedBy>
  <cp:lastPrinted>2026-03-31T15:28:13Z</cp:lastPrinted>
  <dcterms:created xsi:type="dcterms:W3CDTF">2026-02-13T10:09:02Z</dcterms:created>
  <dcterms:modified xsi:type="dcterms:W3CDTF">2026-03-31T15:38:29Z</dcterms:modified>
</cp:coreProperties>
</file>